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riy/Desktop/"/>
    </mc:Choice>
  </mc:AlternateContent>
  <xr:revisionPtr revIDLastSave="0" documentId="13_ncr:1_{0DC3D3DF-B721-3B4F-9F43-6515B47728A4}" xr6:coauthVersionLast="47" xr6:coauthVersionMax="47" xr10:uidLastSave="{00000000-0000-0000-0000-000000000000}"/>
  <bookViews>
    <workbookView xWindow="0" yWindow="580" windowWidth="25600" windowHeight="16060" tabRatio="500" activeTab="2" xr2:uid="{00000000-000D-0000-FFFF-FFFF00000000}"/>
  </bookViews>
  <sheets>
    <sheet name="Assumptions" sheetId="1" r:id="rId1"/>
    <sheet name="Baseline Model" sheetId="2" r:id="rId2"/>
    <sheet name="Пояснения" sheetId="3" r:id="rId3"/>
  </sheets>
  <definedNames>
    <definedName name="_xlchart.v1.0" hidden="1">'Baseline Model'!$C$21:$N$21</definedName>
    <definedName name="_xlchart.v1.1" hidden="1">'Baseline Model'!$C$32:$N$32</definedName>
    <definedName name="_xlchart.v1.10" hidden="1">'Baseline Model'!$C$32:$N$32</definedName>
    <definedName name="_xlchart.v1.11" hidden="1">'Baseline Model'!$C$3:$N$3</definedName>
    <definedName name="_xlchart.v1.2" hidden="1">'Baseline Model'!$C$3:$N$3</definedName>
    <definedName name="_xlchart.v1.3" hidden="1">'Baseline Model'!$C$21:$N$21</definedName>
    <definedName name="_xlchart.v1.4" hidden="1">'Baseline Model'!$C$32:$N$32</definedName>
    <definedName name="_xlchart.v1.5" hidden="1">'Baseline Model'!$C$3:$N$3</definedName>
    <definedName name="_xlchart.v1.6" hidden="1">'Baseline Model'!$C$21:$N$21</definedName>
    <definedName name="_xlchart.v1.7" hidden="1">'Baseline Model'!$C$32:$N$32</definedName>
    <definedName name="_xlchart.v1.8" hidden="1">'Baseline Model'!$C$3:$N$3</definedName>
    <definedName name="_xlchart.v1.9" hidden="1">'Baseline Model'!$C$21:$N$21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2" l="1"/>
  <c r="C24" i="2"/>
  <c r="I15" i="2"/>
  <c r="R32" i="2"/>
  <c r="R34" i="2"/>
  <c r="P34" i="2"/>
  <c r="P11" i="2"/>
  <c r="O11" i="2"/>
  <c r="P7" i="2"/>
  <c r="P28" i="2"/>
  <c r="Q28" i="2" s="1"/>
  <c r="R28" i="2" s="1"/>
  <c r="S28" i="2" s="1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27" i="2"/>
  <c r="C29" i="2" s="1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R22" i="2" s="1"/>
  <c r="S22" i="2" s="1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P20" i="2"/>
  <c r="Q20" i="2" s="1"/>
  <c r="R20" i="2" s="1"/>
  <c r="S20" i="2" s="1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N16" i="2"/>
  <c r="M16" i="2"/>
  <c r="L16" i="2"/>
  <c r="K16" i="2"/>
  <c r="J16" i="2"/>
  <c r="I16" i="2"/>
  <c r="H16" i="2"/>
  <c r="G16" i="2"/>
  <c r="F16" i="2"/>
  <c r="E16" i="2"/>
  <c r="D16" i="2"/>
  <c r="C16" i="2"/>
  <c r="N14" i="2"/>
  <c r="M14" i="2"/>
  <c r="L14" i="2"/>
  <c r="K14" i="2"/>
  <c r="J14" i="2"/>
  <c r="I14" i="2"/>
  <c r="H14" i="2"/>
  <c r="G14" i="2"/>
  <c r="E14" i="2"/>
  <c r="D14" i="2"/>
  <c r="C14" i="2"/>
  <c r="N12" i="2"/>
  <c r="M12" i="2"/>
  <c r="L12" i="2"/>
  <c r="K12" i="2"/>
  <c r="J12" i="2"/>
  <c r="I12" i="2"/>
  <c r="H12" i="2"/>
  <c r="G12" i="2"/>
  <c r="F12" i="2"/>
  <c r="E12" i="2"/>
  <c r="D12" i="2"/>
  <c r="C12" i="2"/>
  <c r="C11" i="2"/>
  <c r="D11" i="2" s="1"/>
  <c r="N10" i="2"/>
  <c r="M10" i="2"/>
  <c r="L10" i="2"/>
  <c r="K10" i="2"/>
  <c r="J10" i="2"/>
  <c r="I10" i="2"/>
  <c r="H10" i="2"/>
  <c r="G10" i="2"/>
  <c r="F10" i="2"/>
  <c r="E10" i="2"/>
  <c r="D10" i="2"/>
  <c r="C10" i="2"/>
  <c r="C47" i="1"/>
  <c r="C8" i="1"/>
  <c r="K6" i="2" s="1"/>
  <c r="E11" i="2" l="1"/>
  <c r="D13" i="2"/>
  <c r="D15" i="2" s="1"/>
  <c r="D17" i="2" s="1"/>
  <c r="D21" i="2" s="1"/>
  <c r="D6" i="2"/>
  <c r="E6" i="2"/>
  <c r="M6" i="2"/>
  <c r="C10" i="1"/>
  <c r="L6" i="2"/>
  <c r="F6" i="2"/>
  <c r="N6" i="2"/>
  <c r="C13" i="2"/>
  <c r="G6" i="2"/>
  <c r="O6" i="2"/>
  <c r="P6" i="2" s="1"/>
  <c r="Q6" i="2" s="1"/>
  <c r="R6" i="2" s="1"/>
  <c r="S6" i="2" s="1"/>
  <c r="D27" i="2"/>
  <c r="H6" i="2"/>
  <c r="I6" i="2"/>
  <c r="J6" i="2"/>
  <c r="C6" i="2"/>
  <c r="D29" i="2" l="1"/>
  <c r="E27" i="2"/>
  <c r="C15" i="2"/>
  <c r="J7" i="2"/>
  <c r="I7" i="2"/>
  <c r="H7" i="2"/>
  <c r="O7" i="2"/>
  <c r="Q7" i="2" s="1"/>
  <c r="R7" i="2" s="1"/>
  <c r="S7" i="2" s="1"/>
  <c r="G7" i="2"/>
  <c r="N7" i="2"/>
  <c r="F7" i="2"/>
  <c r="M7" i="2"/>
  <c r="E7" i="2"/>
  <c r="K7" i="2"/>
  <c r="L7" i="2"/>
  <c r="D7" i="2"/>
  <c r="C7" i="2"/>
  <c r="D33" i="2"/>
  <c r="D24" i="2"/>
  <c r="D32" i="2" s="1"/>
  <c r="E13" i="2"/>
  <c r="E15" i="2" s="1"/>
  <c r="E17" i="2" s="1"/>
  <c r="E21" i="2" s="1"/>
  <c r="F11" i="2"/>
  <c r="E24" i="2" l="1"/>
  <c r="E33" i="2"/>
  <c r="E29" i="2"/>
  <c r="F27" i="2"/>
  <c r="F13" i="2"/>
  <c r="F15" i="2" s="1"/>
  <c r="F17" i="2" s="1"/>
  <c r="F21" i="2" s="1"/>
  <c r="O21" i="2" s="1"/>
  <c r="O34" i="2" s="1"/>
  <c r="G11" i="2"/>
  <c r="C17" i="2"/>
  <c r="G13" i="2" l="1"/>
  <c r="H11" i="2"/>
  <c r="F24" i="2"/>
  <c r="F33" i="2"/>
  <c r="F29" i="2"/>
  <c r="G27" i="2"/>
  <c r="C21" i="2"/>
  <c r="E32" i="2"/>
  <c r="C33" i="2" l="1"/>
  <c r="H27" i="2"/>
  <c r="G29" i="2"/>
  <c r="F32" i="2"/>
  <c r="H13" i="2"/>
  <c r="H15" i="2" s="1"/>
  <c r="H17" i="2" s="1"/>
  <c r="H21" i="2" s="1"/>
  <c r="I11" i="2"/>
  <c r="G15" i="2"/>
  <c r="C32" i="2" l="1"/>
  <c r="H24" i="2"/>
  <c r="H33" i="2"/>
  <c r="H29" i="2"/>
  <c r="I27" i="2"/>
  <c r="G17" i="2"/>
  <c r="J11" i="2"/>
  <c r="I13" i="2"/>
  <c r="I17" i="2" s="1"/>
  <c r="I21" i="2" s="1"/>
  <c r="I24" i="2" l="1"/>
  <c r="I33" i="2"/>
  <c r="K11" i="2"/>
  <c r="J13" i="2"/>
  <c r="I29" i="2"/>
  <c r="J27" i="2"/>
  <c r="H32" i="2"/>
  <c r="G21" i="2"/>
  <c r="J29" i="2" l="1"/>
  <c r="K27" i="2"/>
  <c r="J15" i="2"/>
  <c r="L11" i="2"/>
  <c r="K13" i="2"/>
  <c r="K15" i="2" s="1"/>
  <c r="K17" i="2" s="1"/>
  <c r="K21" i="2" s="1"/>
  <c r="G24" i="2"/>
  <c r="G33" i="2"/>
  <c r="I32" i="2"/>
  <c r="K33" i="2" l="1"/>
  <c r="K24" i="2"/>
  <c r="M11" i="2"/>
  <c r="L13" i="2"/>
  <c r="L15" i="2" s="1"/>
  <c r="L17" i="2" s="1"/>
  <c r="L21" i="2" s="1"/>
  <c r="G32" i="2"/>
  <c r="J17" i="2"/>
  <c r="K29" i="2"/>
  <c r="L27" i="2"/>
  <c r="J21" i="2" l="1"/>
  <c r="L33" i="2"/>
  <c r="L24" i="2"/>
  <c r="L29" i="2"/>
  <c r="M27" i="2"/>
  <c r="M13" i="2"/>
  <c r="M15" i="2" s="1"/>
  <c r="M17" i="2" s="1"/>
  <c r="M21" i="2" s="1"/>
  <c r="N11" i="2"/>
  <c r="K32" i="2"/>
  <c r="M24" i="2" l="1"/>
  <c r="M33" i="2"/>
  <c r="L32" i="2"/>
  <c r="N13" i="2"/>
  <c r="M29" i="2"/>
  <c r="N27" i="2"/>
  <c r="J33" i="2"/>
  <c r="J24" i="2"/>
  <c r="N29" i="2" l="1"/>
  <c r="O29" i="2" s="1"/>
  <c r="O27" i="2"/>
  <c r="P27" i="2" s="1"/>
  <c r="N15" i="2"/>
  <c r="O13" i="2"/>
  <c r="P13" i="2"/>
  <c r="P15" i="2" s="1"/>
  <c r="P17" i="2" s="1"/>
  <c r="P21" i="2" s="1"/>
  <c r="Q11" i="2"/>
  <c r="J32" i="2"/>
  <c r="M32" i="2"/>
  <c r="P24" i="2" l="1"/>
  <c r="P33" i="2"/>
  <c r="N17" i="2"/>
  <c r="O15" i="2"/>
  <c r="R11" i="2"/>
  <c r="Q13" i="2"/>
  <c r="Q15" i="2" s="1"/>
  <c r="Q17" i="2" s="1"/>
  <c r="Q21" i="2" s="1"/>
  <c r="P29" i="2"/>
  <c r="Q27" i="2"/>
  <c r="Q24" i="2" l="1"/>
  <c r="Q33" i="2"/>
  <c r="Q34" i="2"/>
  <c r="S11" i="2"/>
  <c r="S13" i="2" s="1"/>
  <c r="S15" i="2" s="1"/>
  <c r="S17" i="2" s="1"/>
  <c r="S21" i="2" s="1"/>
  <c r="R13" i="2"/>
  <c r="R15" i="2" s="1"/>
  <c r="R17" i="2" s="1"/>
  <c r="R21" i="2" s="1"/>
  <c r="N21" i="2"/>
  <c r="O17" i="2"/>
  <c r="Q29" i="2"/>
  <c r="R27" i="2"/>
  <c r="P32" i="2"/>
  <c r="N24" i="2" l="1"/>
  <c r="N33" i="2"/>
  <c r="R33" i="2"/>
  <c r="R24" i="2"/>
  <c r="S33" i="2"/>
  <c r="S34" i="2"/>
  <c r="S24" i="2"/>
  <c r="R29" i="2"/>
  <c r="S27" i="2"/>
  <c r="S29" i="2" s="1"/>
  <c r="Q32" i="2"/>
  <c r="Q35" i="2" s="1"/>
  <c r="R35" i="2" l="1"/>
  <c r="O33" i="2"/>
  <c r="S32" i="2"/>
  <c r="S35" i="2" s="1"/>
  <c r="N32" i="2"/>
  <c r="O24" i="2"/>
  <c r="O32" i="2" s="1"/>
  <c r="P35" i="2" s="1"/>
</calcChain>
</file>

<file path=xl/sharedStrings.xml><?xml version="1.0" encoding="utf-8"?>
<sst xmlns="http://schemas.openxmlformats.org/spreadsheetml/2006/main" count="218" uniqueCount="167">
  <si>
    <t>Синий шрифт = входные данные (hardcodes). Жёлтый фон = ключевые параметры.</t>
  </si>
  <si>
    <t>Параметр</t>
  </si>
  <si>
    <t>Значение</t>
  </si>
  <si>
    <t>Единица</t>
  </si>
  <si>
    <t>Источник / обоснование</t>
  </si>
  <si>
    <t>РЫНОЧНЫЕ ПАРАМЕТРЫ (TOP-DOWN)</t>
  </si>
  <si>
    <t>TAM рынка новой мебели РФ</t>
  </si>
  <si>
    <t>млрд ₽</t>
  </si>
  <si>
    <t>TAdviser 2024; ПМ итоговая п.2.6</t>
  </si>
  <si>
    <t>Доля онлайн-сегмента (→ SAM)</t>
  </si>
  <si>
    <t>%</t>
  </si>
  <si>
    <t>e-pepper «Онлайн-продажи мебели 2023»</t>
  </si>
  <si>
    <t>SAM = TAM × 30%</t>
  </si>
  <si>
    <t>Расчёт: 627 × 0.30</t>
  </si>
  <si>
    <t>Доля Avito в SAM (→ SOM)</t>
  </si>
  <si>
    <t>Реалист. 10% SAM (ПМ итог., п.2.6; WB≈15%)</t>
  </si>
  <si>
    <t>SOM = SAM × 10%</t>
  </si>
  <si>
    <t>≈18.8; конс.3%/агресс.15%</t>
  </si>
  <si>
    <t>Рост онлайн-рынка YoY</t>
  </si>
  <si>
    <t>% год</t>
  </si>
  <si>
    <t>Data Insight: +7–10% в 2023–2024</t>
  </si>
  <si>
    <t>ПАРАМЕТРЫ СПРОСА (BOTTOM-UP)</t>
  </si>
  <si>
    <t>MAU покупателей (старт, янв 2026)</t>
  </si>
  <si>
    <t>чел.</t>
  </si>
  <si>
    <t>Данные курса: 5 млн MAU кат. 3.7</t>
  </si>
  <si>
    <t>Рост MAU MoM</t>
  </si>
  <si>
    <t>% мес</t>
  </si>
  <si>
    <t>Зрелая кат., ~3.7% YoY; BCG: QM→Stars</t>
  </si>
  <si>
    <t>CR MAU → контакт</t>
  </si>
  <si>
    <t>Данные курса: CR=0.05 от показов ≈0.5% MAU</t>
  </si>
  <si>
    <t>CR контакт → сделка</t>
  </si>
  <si>
    <t>Курс 5–8% от КП; с 2–3 обращ. ≈20%</t>
  </si>
  <si>
    <t>Доля отменённых заказов</t>
  </si>
  <si>
    <t>Бенчмарк: 5–12%</t>
  </si>
  <si>
    <t>МОНЕТИЗАЦИЯ</t>
  </si>
  <si>
    <t>Средний чек (AOV)</t>
  </si>
  <si>
    <t>₽</t>
  </si>
  <si>
    <t>Новая мебель 30–80т, медиана 45т; DI 2024</t>
  </si>
  <si>
    <t>Рост AOV YoY</t>
  </si>
  <si>
    <t>Росстат: инфляция ~5–7%</t>
  </si>
  <si>
    <t>Доля транз. через платформу (Y1)</t>
  </si>
  <si>
    <t>Данные курса: 18%, рост +2 п.п./год</t>
  </si>
  <si>
    <t>Прирост доли транз. / год</t>
  </si>
  <si>
    <t>п.п./год</t>
  </si>
  <si>
    <t>Развитие безопасной сделки, доставки</t>
  </si>
  <si>
    <t>Take rate (комиссия)</t>
  </si>
  <si>
    <t>Бенчмарк: 3–8%; Ozon~8%, Avito~5%</t>
  </si>
  <si>
    <t>Активные продавцы (старт)</t>
  </si>
  <si>
    <t>≈600т объявл. ÷ 24 объявл./прод.</t>
  </si>
  <si>
    <t>Рост продавцов MoM</t>
  </si>
  <si>
    <t>≈6% YoY; рост мастеров/студий</t>
  </si>
  <si>
    <t>ARPU продавца VAS (Y1)</t>
  </si>
  <si>
    <t>₽/мес</t>
  </si>
  <si>
    <t>Данные курса: 180 ₽/мес</t>
  </si>
  <si>
    <t>Рост ARPU YoY</t>
  </si>
  <si>
    <t>≈5% YoY — развитие VAS</t>
  </si>
  <si>
    <t>СЕЗОННОСТЬ (коэфф.)</t>
  </si>
  <si>
    <t>Январь</t>
  </si>
  <si>
    <t>коэфф.</t>
  </si>
  <si>
    <t>Постновогод. спад</t>
  </si>
  <si>
    <t>Февраль</t>
  </si>
  <si>
    <t>Восстановление</t>
  </si>
  <si>
    <t>Март</t>
  </si>
  <si>
    <t>Весенний ремонт</t>
  </si>
  <si>
    <t>Апрель</t>
  </si>
  <si>
    <t>Сезон ремонтов</t>
  </si>
  <si>
    <t>Май</t>
  </si>
  <si>
    <t>Праздники</t>
  </si>
  <si>
    <t>Июнь</t>
  </si>
  <si>
    <t>Отпуска</t>
  </si>
  <si>
    <t>Июль</t>
  </si>
  <si>
    <t>Минимум: отпуска</t>
  </si>
  <si>
    <t>Август</t>
  </si>
  <si>
    <t>Сентябрь</t>
  </si>
  <si>
    <t>Пик: новоселья</t>
  </si>
  <si>
    <t>Октябрь</t>
  </si>
  <si>
    <t>Пик: ремонты</t>
  </si>
  <si>
    <t>Ноябрь</t>
  </si>
  <si>
    <t>Чёрная пятница</t>
  </si>
  <si>
    <t>Декабрь</t>
  </si>
  <si>
    <t>Предновогод.</t>
  </si>
  <si>
    <t>ПРОЧИЕ</t>
  </si>
  <si>
    <t>Потолок интернет-аудитории РФ</t>
  </si>
  <si>
    <t>Mediascope</t>
  </si>
  <si>
    <t>Средний сезонный коэфф.</t>
  </si>
  <si>
    <t>Среднее 12 месяцев</t>
  </si>
  <si>
    <t>2026 (помесячно)</t>
  </si>
  <si>
    <t>Метрика</t>
  </si>
  <si>
    <t>Ед.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</si>
  <si>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</si>
  <si>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</si>
  <si>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</si>
  <si>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</si>
  <si>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</si>
  <si>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</si>
  <si>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</si>
  <si>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</si>
  <si>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</si>
  <si>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</si>
  <si>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</si>
  <si>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</si>
  <si>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Y1 2026</t>
  </si>
  <si>
    <t>Y2 2027</t>
  </si>
  <si>
    <t>Y3 2028</t>
  </si>
  <si>
    <t>Y4 2029</t>
  </si>
  <si>
    <t>Y5 2030</t>
  </si>
  <si>
    <t>SAM онлайн-рынок мебели</t>
  </si>
  <si>
    <t>SOM (Avito, 10% SAM)</t>
  </si>
  <si>
    <t>ВОРОНКА СПРОСА (BOTTOM-UP)</t>
  </si>
  <si>
    <t>Сезонный коэффициент</t>
  </si>
  <si>
    <t>MAU покупателей</t>
  </si>
  <si>
    <t>Контакты / мес</t>
  </si>
  <si>
    <t>шт.</t>
  </si>
  <si>
    <t>Сделки / мес (все)</t>
  </si>
  <si>
    <t>Доля отменённых</t>
  </si>
  <si>
    <t>Завершённые сделки / мес</t>
  </si>
  <si>
    <t>GMV</t>
  </si>
  <si>
    <t>млн ₽</t>
  </si>
  <si>
    <t>Доля транз. через платформу</t>
  </si>
  <si>
    <t>Доход от комиссий</t>
  </si>
  <si>
    <t>ДОХОД ОТ ПРОДАВЦОВ (VAS)</t>
  </si>
  <si>
    <t>Активные продавцы</t>
  </si>
  <si>
    <t>ARPU продавца (VAS)</t>
  </si>
  <si>
    <t>Доход от VAS</t>
  </si>
  <si>
    <t>ИТОГО BASELINE</t>
  </si>
  <si>
    <t>GMV (справочно)</t>
  </si>
  <si>
    <t>GMV / SOM (проверка потолка)</t>
  </si>
  <si>
    <t>Рост дохода YoY</t>
  </si>
  <si>
    <t>1. Краткий бизнес-контекст</t>
  </si>
  <si>
    <t>2. Выбор метода расчёта baseline</t>
  </si>
  <si>
    <t>3. Цепочка расчёта</t>
  </si>
  <si>
    <t>1) MAU × CR(MAU→контакт) × Сезонность → Контакты/мес</t>
  </si>
  <si>
    <t>2) Контакты × CR(контакт→сделка) → Сделки/мес</t>
  </si>
  <si>
    <t>3) Сделки × (1 − доля отмен) → Завершённые сделки</t>
  </si>
  <si>
    <t>4) Завершённые сделки × AOV → GMV</t>
  </si>
  <si>
    <t>5) GMV × Доля транз. через платформу × Take rate → Доход от комиссий</t>
  </si>
  <si>
    <t>6) Активные продавцы × ARPU → Доход от VAS</t>
  </si>
  <si>
    <t>7) ИТОГО = Комиссии + VAS</t>
  </si>
  <si>
    <t>4. Обоснование ключевых допущений</t>
  </si>
  <si>
    <t>MAU 5 млн — данные курса для кат. 3.7. Рост 0.3% MoM (≈3.7% YoY) — зрелая категория.</t>
  </si>
  <si>
    <t>CR MAU→контакт 0.5% — курс даёт CR=0.05 «от показа»; при ≈10 просм./сессию = 0.5% от MAU.</t>
  </si>
  <si>
    <t>CR контакт→сделка 20% — курс даёт 5–8% «от КП»; покупатель обращается к 2–3 продавцам ≈20%.</t>
  </si>
  <si>
    <t>AOV 45 тыс. ₽ — медиана для новой мебели (диапазон 30–80т), Data Insight 2024.</t>
  </si>
  <si>
    <t>SOM 10% SAM — реалистичный сценарий с учётом конкуренции (WB ~15%, Ozon, Hoff, Яндекс Маркет).</t>
  </si>
  <si>
    <t>Сезонность — типичный профиль: минимум летом (отпуска), пик в сент.–окт. (новоселья, ремонты).</t>
  </si>
  <si>
    <t>5. Проверка реалистичности</t>
  </si>
  <si>
    <t>6. Факторы риска</t>
  </si>
  <si>
    <t>Источники</t>
  </si>
  <si>
    <t>5. Data Insight — e-commerce мебели 2024</t>
  </si>
  <si>
    <t>7. ПМ Итоговая работа — Яковлев Д.Д. (ЦА, TAM/SAM/SOM, SWOT, BCG, конкуренты)</t>
  </si>
  <si>
    <t>ДОПУЩЕНИЯ BASELINE: Avito Новая мебель</t>
  </si>
  <si>
    <t>№</t>
  </si>
  <si>
    <t xml:space="preserve">6. Данные из ДЗ </t>
  </si>
  <si>
    <t>4. Forbes — «Доля Wildberries на мебельном рынке»</t>
  </si>
  <si>
    <t xml:space="preserve">3. Industrymebel — «Рост оборота мебели на Авито» </t>
  </si>
  <si>
    <t xml:space="preserve">2. e-pepper — «Онлайн-продажи мебели 2023» </t>
  </si>
  <si>
    <t xml:space="preserve">1. TAdviser — «Объём рынка мебели России» </t>
  </si>
  <si>
    <t>Пояснения к baseline-модели</t>
  </si>
  <si>
    <t>BASELINE (Bottom-Up + Top-Down проверка)</t>
  </si>
  <si>
    <t>ИТОГО ДОХОД</t>
  </si>
  <si>
    <r>
      <rPr>
        <b/>
        <sz val="11"/>
        <rFont val="Arial"/>
        <family val="2"/>
      </rPr>
      <t>Конкуренты</t>
    </r>
    <r>
      <rPr>
        <sz val="11"/>
        <rFont val="Arial"/>
        <charset val="1"/>
      </rPr>
      <t xml:space="preserve"> Ozon Мебель (покрытие ПВЗ, масс-маркет), Hoff (офлайн+онлайн), Яндекс Маркет (экосистема).</t>
    </r>
  </si>
  <si>
    <t>Это двухсторонняя платформа, которая соединяет продавцов разных типов (от мастеров-одиночек и небольших студий до полноценных магазинов и ритейлеров) с покупателями, среди которых выделяются Ready Buyer, Researcher и бюджетный сегмент.
В качестве North Star Metric выбрано количество успешных сделок с новой мебелью в месяц — именно этот показатель наиболее точно отражает ценность, которую платформа создаёт для обеих сторон рынка.
С точки зрения матрицы BCG, продукт находится в переходной зоне от Question Mark к Stars: рынок онлайн-мебели растёт двузначными темпами, но доля Авито в этом сегменте пока средняя. Стратегически мы делаем ставку на связку «Мастера и студии ↔ Ready Buyer» — именно здесь платформа может предложить уникальный ассортимент и обеспечить быстрый оборот, в отличие от масс-маркет конкурентов вроде Ozon или Wildberries.</t>
  </si>
  <si>
    <t>Раздел Авито 3.7 «Мебель и мебель на заказ» → подраздел «Новая мебель».</t>
  </si>
  <si>
    <t>При построении baseline-модели я сознательно выбрал bottom-up как основной подход, дополнив его top-down валидацией. Объясню, почему именно такая комбинация.
Почему bottom-up в качестве основы?
Для продукта на стадии активного роста, когда уже накоплены операционные данные, bottom-up даёт более точную и управляемую модель. У нас есть конкретные цифры: MAU раздела (около 5 млн пользователей), исторические конверсии на каждом этапе воронки, средний чек. Это позволяет выстроить расчёт «снизу вверх» — от активности конкретных пользователей к итоговым бизнес-показателям.
Такой подход особенно ценен тем, что каждый параметр модели можно связать с конкретным продуктовым решением: хотим увеличить GMV — понимаем, на какой этап воронки воздействовать. Это делает модель не просто прогнозом, а инструментом для принятия решений.
Зачем нужна top-down валидация?
Любая bottom-up модель несёт риск «оторваться от реальности» — можно заложить оптимистичные конверсии и получить цифры, которые физически невозможны на данном рынке. Поэтому я использую top-down как «потолок разумности»:
TAM (весь рынок мебели России) — 627 млрд ₽ по данным TAdviser
SAM (доступный рынок — онлайн-сегмент) — около 188 млрд ₽, то есть примерно 30% от общего рынка
SOM (реалистично достижимая доля) — 18,8 млрд ₽ при сценарии 10% от SAM
Почему именно 10%? Авито — безусловный лидер в C2C, но в B2C-сегменте мебели картина иная. Wildberries занимает около 15% рынка онлайн-мебели, активно растут Ozon и Hoff. При этом «Новая мебель» — лишь один из подразделов внутри категории. Десять процентов — это взвешенная оценка, которая учитывает и силу бренда Авито, и реальную конкурентную среду.</t>
  </si>
  <si>
    <t>Модель построена на допущениях, которые могут не оправдаться. Ключевые риски:
Конкурентное давление. Wildberries и Ozon агрессивно развивают мебельные категории. Если они предложат лучшие условия для продавцов или более удобную доставку, рост MAU Авито может замедлиться.
Макроэкономика. Ставки по ипотеке напрямую влияют на рынок недвижимости, а значит — и на спрос на мебель. Рост ставок может сжать рынок сильнее, чем заложено в модели.
Технологические задержки. Если развитие безопасной сделки и интегрированной доставки пойдёт медленнее плана, доля транзакций через платформу будет расти не так быстро.
Стабильность конверсий. В модели конверсии заложены как константы с небольшим трендом. В реальности они могут колебаться, и это требует постоянного мониторинга.</t>
  </si>
  <si>
    <t>Прежде чем доверять модели, я провёл несколько «санитарных» проверок:
MAU к пятому году (~5,9 млн) — это менее 7% от 90 млн активных интернет-пользователей России. Вполне реалистично для специализированного раздела.
GMV первого года (~2,4 млрд ₽) составляет около 13% от SOM. Для подраздела «Новая мебель» внутри большой категории — разумная доля.
Конверсии 0,5% и 20% — типичны для низкочастотных категорий с высоким средним чеком.
Сезонные колебания ±15–30% — стандартная амплитуда для мебельного рынка.
Рост дохода 13–14% в год — объясняется суммой драйверов: рост MAU, индексация AOV, увеличение доли транзакций через платформу, рост базы активных продавцов.</t>
  </si>
  <si>
    <t xml:space="preserve">TAM 627 млрд ₽ — TAdviser «Объём рынка мебели России»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</si>
</sst>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8" x14ac:knownFonts="1">
    <font>
      <sz val="11"/>
      <color theme="1"/>
      <name val="Calibri"/>
      <family val="2"/>
      <charset val="1"/>
    </font>
    <font>
      <i/>
      <sz val="9"/>
      <color rgb="FF666666"/>
      <name val="Arial"/>
      <charset val="1"/>
    </font>
    <font>
      <b/>
      <sz val="11"/>
      <name val="Arial"/>
      <charset val="1"/>
    </font>
    <font>
      <b/>
      <sz val="10"/>
      <color rgb="FF333333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color rgb="FF555555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sz val="11"/>
      <name val="Arial"/>
      <charset val="1"/>
    </font>
    <font>
      <b/>
      <sz val="12"/>
      <name val="Arial"/>
      <family val="2"/>
    </font>
    <font>
      <b/>
      <sz val="11"/>
      <name val="Arial"/>
      <family val="2"/>
    </font>
    <font>
      <sz val="9"/>
      <color rgb="FF555555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charset val="1"/>
    </font>
    <font>
      <b/>
      <sz val="13"/>
      <name val="Arial"/>
      <family val="2"/>
    </font>
    <font>
      <b/>
      <sz val="10"/>
      <color rgb="FF0061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1" xfId="0" applyFont="1" applyBorder="1"/>
    <xf numFmtId="3" fontId="5" fillId="3" borderId="1" xfId="0" applyNumberFormat="1" applyFont="1" applyFill="1" applyBorder="1"/>
    <xf numFmtId="0" fontId="6" fillId="0" borderId="1" xfId="0" applyFont="1" applyBorder="1"/>
    <xf numFmtId="164" fontId="5" fillId="3" borderId="1" xfId="0" applyNumberFormat="1" applyFont="1" applyFill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2" fontId="5" fillId="0" borderId="1" xfId="0" applyNumberFormat="1" applyFont="1" applyBorder="1"/>
    <xf numFmtId="2" fontId="4" fillId="0" borderId="1" xfId="0" applyNumberFormat="1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7" fillId="0" borderId="1" xfId="0" applyNumberFormat="1" applyFont="1" applyBorder="1"/>
    <xf numFmtId="2" fontId="7" fillId="0" borderId="1" xfId="0" applyNumberFormat="1" applyFont="1" applyBorder="1"/>
    <xf numFmtId="3" fontId="7" fillId="0" borderId="1" xfId="0" applyNumberFormat="1" applyFont="1" applyBorder="1"/>
    <xf numFmtId="3" fontId="4" fillId="0" borderId="1" xfId="0" applyNumberFormat="1" applyFont="1" applyBorder="1"/>
    <xf numFmtId="164" fontId="7" fillId="0" borderId="1" xfId="0" applyNumberFormat="1" applyFont="1" applyBorder="1"/>
    <xf numFmtId="0" fontId="8" fillId="0" borderId="1" xfId="0" applyFont="1" applyBorder="1"/>
    <xf numFmtId="3" fontId="8" fillId="0" borderId="1" xfId="0" applyNumberFormat="1" applyFont="1" applyBorder="1"/>
    <xf numFmtId="165" fontId="8" fillId="0" borderId="1" xfId="0" applyNumberFormat="1" applyFont="1" applyBorder="1"/>
    <xf numFmtId="164" fontId="4" fillId="0" borderId="1" xfId="0" applyNumberFormat="1" applyFont="1" applyBorder="1"/>
    <xf numFmtId="165" fontId="9" fillId="4" borderId="1" xfId="0" applyNumberFormat="1" applyFont="1" applyFill="1" applyBorder="1"/>
    <xf numFmtId="165" fontId="4" fillId="0" borderId="1" xfId="0" applyNumberFormat="1" applyFont="1" applyBorder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/>
    <xf numFmtId="0" fontId="14" fillId="0" borderId="0" xfId="0" applyFont="1"/>
    <xf numFmtId="0" fontId="15" fillId="0" borderId="0" xfId="1"/>
    <xf numFmtId="0" fontId="16" fillId="0" borderId="0" xfId="0" applyFont="1"/>
    <xf numFmtId="0" fontId="17" fillId="0" borderId="1" xfId="0" applyFont="1" applyBorder="1"/>
    <xf numFmtId="0" fontId="11" fillId="0" borderId="0" xfId="0" applyFont="1" applyAlignment="1">
      <alignment horizontal="center"/>
    </xf>
    <xf numFmtId="0" fontId="1" fillId="0" borderId="0" xfId="0" applyFont="1" applyAlignment="1"/>
    <xf numFmtId="0" fontId="14" fillId="0" borderId="0" xfId="0" applyFont="1" applyAlignment="1">
      <alignment wrapText="1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Динамика выручки </a:t>
            </a:r>
            <a:r>
              <a:rPr lang="en-US"/>
              <a:t>GMV — 2026, </a:t>
            </a:r>
            <a:r>
              <a:rPr lang="ru-RU"/>
              <a:t>помесячно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Доход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'Baseline Model'!$C$3:$N$3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'Baseline Model'!$C$32:$N$32</c:f>
              <c:numCache>
                <c:formatCode>#,##0.0</c:formatCode>
                <c:ptCount val="12"/>
                <c:pt idx="0">
                  <c:v>5.8041</c:v>
                </c:pt>
                <c:pt idx="1">
                  <c:v>6.0173712000000004</c:v>
                </c:pt>
                <c:pt idx="2">
                  <c:v>6.3256650286499996</c:v>
                </c:pt>
                <c:pt idx="3">
                  <c:v>6.5416682188660493</c:v>
                </c:pt>
                <c:pt idx="4">
                  <c:v>6.4761768033549023</c:v>
                </c:pt>
                <c:pt idx="5">
                  <c:v>6.2212061977002229</c:v>
                </c:pt>
                <c:pt idx="6">
                  <c:v>6.0593898849646965</c:v>
                </c:pt>
                <c:pt idx="7">
                  <c:v>6.3722491855435086</c:v>
                </c:pt>
                <c:pt idx="8">
                  <c:v>6.8776519489612866</c:v>
                </c:pt>
                <c:pt idx="9">
                  <c:v>7.0033306276259184</c:v>
                </c:pt>
                <c:pt idx="10">
                  <c:v>6.8418356412163961</c:v>
                </c:pt>
                <c:pt idx="11">
                  <c:v>6.5829390579391305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9-8540-B324-852B2FFF4220}"/>
            </c:ext>
          </c:extLst>
        </c:ser>
        <c:ser>
          <c:idx val="1"/>
          <c:order val="1"/>
          <c:tx>
            <c:v>GMV</c:v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'Baseline Model'!$C$3:$N$3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'Baseline Model'!$C$21:$N$21</c:f>
              <c:numCache>
                <c:formatCode>#,##0.0</c:formatCode>
                <c:ptCount val="12"/>
                <c:pt idx="0">
                  <c:v>144.9</c:v>
                </c:pt>
                <c:pt idx="1">
                  <c:v>166.0968</c:v>
                </c:pt>
                <c:pt idx="2">
                  <c:v>197.83166984999997</c:v>
                </c:pt>
                <c:pt idx="3">
                  <c:v>219.31202431844994</c:v>
                </c:pt>
                <c:pt idx="4">
                  <c:v>209.49520037276693</c:v>
                </c:pt>
                <c:pt idx="5">
                  <c:v>178.60513307780246</c:v>
                </c:pt>
                <c:pt idx="6">
                  <c:v>158.06554277385513</c:v>
                </c:pt>
                <c:pt idx="7">
                  <c:v>190.24768728261199</c:v>
                </c:pt>
                <c:pt idx="8">
                  <c:v>243.82354988458749</c:v>
                </c:pt>
                <c:pt idx="9">
                  <c:v>255.1878475139909</c:v>
                </c:pt>
                <c:pt idx="10">
                  <c:v>234.62396013515513</c:v>
                </c:pt>
                <c:pt idx="11">
                  <c:v>203.23767310434778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9-8540-B324-852B2FFF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8446"/>
        <c:axId val="65416683"/>
      </c:lineChart>
      <c:catAx>
        <c:axId val="14678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6683"/>
        <c:crosses val="autoZero"/>
        <c:auto val="1"/>
        <c:lblAlgn val="ctr"/>
        <c:lblOffset val="100"/>
        <c:noMultiLvlLbl val="0"/>
      </c:catAx>
      <c:valAx>
        <c:axId val="65416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 </a:t>
                </a:r>
                <a:r>
                  <a:rPr lang="en-US"/>
                  <a:t>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36</xdr:row>
      <xdr:rowOff>0</xdr:rowOff>
    </xdr:from>
    <xdr:to>
      <xdr:col>12</xdr:col>
      <xdr:colOff>211680</xdr:colOff>
      <xdr:row>62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datainsight.ru/issues/pdf/38472.pdf" TargetMode="External"/><Relationship Id="rId2" Type="http://schemas.openxmlformats.org/officeDocument/2006/relationships/hyperlink" Target="https://www.forbes.ru/brandvoice/542147-mebel-onlajn-kak-marketplejsy-menaut-rynok-i-proizvodstvo" TargetMode="External"/><Relationship Id="rId1" Type="http://schemas.openxmlformats.org/officeDocument/2006/relationships/hyperlink" Target="https://disk.yandex.ru/i/a9Wb7Nown4286Q" TargetMode="External"/><Relationship Id="rId6" Type="http://schemas.openxmlformats.org/officeDocument/2006/relationships/hyperlink" Target="https://www.tadviser.ru/index.php/%D0%A1%D1%82%D0%B0%D1%82%D1%8C%D1%8F:%D0%9F%D1%80%D0%BE%D0%B8%D0%B7%D0%B2%D0%BE%D0%B4%D1%81%D1%82%D0%B2%D0%BE%2C_%D0%BF%D1%80%D0%BE%D0%B4%D0%B0%D0%B6%D0%B0%2C_%D1%8D%D0%BA%D1%81%D0%BF%D0%BE%D1%80%D1%82_%D0%B8_%D0%B8%D0%BC%D0%BF%D0%BE%D1%80%D1%82_%D0%BC%D0%B5%D0%B1%D0%B5%D0%BB%D0%B8_%D0%B2_%D0%A0%D0%BE%D1%81%D1%81%D0%B8%D0%B8" TargetMode="External"/><Relationship Id="rId5" Type="http://schemas.openxmlformats.org/officeDocument/2006/relationships/hyperlink" Target="https://e-pepper.ru/blogs/news/onlayn-prodazhi-mebeli-v-nachale-2023-goda-analitika-yumoney" TargetMode="External"/><Relationship Id="rId4" Type="http://schemas.openxmlformats.org/officeDocument/2006/relationships/hyperlink" Target="https://industrymebel.ru/inform/na-35-vyros-oborot-novoj-mebeli-na-avito-v-2023-go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E47"/>
  <sheetViews>
    <sheetView zoomScale="125" zoomScaleNormal="100" workbookViewId="0">
      <selection activeCell="E41" sqref="E41"/>
    </sheetView>
  </sheetViews>
  <sheetFormatPr baseColWidth="10" defaultColWidth="8.6640625" defaultRowHeight="15" x14ac:dyDescent="0.2"/>
  <cols>
    <col min="1" max="1" width="5" customWidth="1"/>
    <col min="2" max="2" width="42" customWidth="1"/>
    <col min="3" max="3" width="18" customWidth="1"/>
    <col min="4" max="4" width="12" customWidth="1"/>
    <col min="5" max="5" width="62" customWidth="1"/>
  </cols>
  <sheetData>
    <row r="1" spans="1:5" ht="16" x14ac:dyDescent="0.2">
      <c r="A1" s="35" t="s">
        <v>150</v>
      </c>
      <c r="B1" s="35"/>
    </row>
    <row r="2" spans="1:5" x14ac:dyDescent="0.2">
      <c r="A2" s="36" t="s">
        <v>0</v>
      </c>
      <c r="B2" s="36"/>
    </row>
    <row r="4" spans="1:5" ht="16" x14ac:dyDescent="0.2">
      <c r="A4" s="29" t="s">
        <v>151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x14ac:dyDescent="0.2">
      <c r="B5" s="3" t="s">
        <v>5</v>
      </c>
    </row>
    <row r="6" spans="1:5" x14ac:dyDescent="0.2">
      <c r="A6" s="4">
        <v>1</v>
      </c>
      <c r="B6" s="4" t="s">
        <v>6</v>
      </c>
      <c r="C6" s="5">
        <v>627</v>
      </c>
      <c r="D6" s="4" t="s">
        <v>7</v>
      </c>
      <c r="E6" s="30" t="s">
        <v>8</v>
      </c>
    </row>
    <row r="7" spans="1:5" x14ac:dyDescent="0.2">
      <c r="A7" s="4">
        <v>2</v>
      </c>
      <c r="B7" s="4" t="s">
        <v>9</v>
      </c>
      <c r="C7" s="7">
        <v>0.3</v>
      </c>
      <c r="D7" s="4" t="s">
        <v>10</v>
      </c>
      <c r="E7" s="6" t="s">
        <v>11</v>
      </c>
    </row>
    <row r="8" spans="1:5" x14ac:dyDescent="0.2">
      <c r="A8" s="4">
        <v>3</v>
      </c>
      <c r="B8" s="4" t="s">
        <v>12</v>
      </c>
      <c r="C8" s="4">
        <f>C6*C7</f>
        <v>188.1</v>
      </c>
      <c r="D8" s="4" t="s">
        <v>7</v>
      </c>
      <c r="E8" s="6" t="s">
        <v>13</v>
      </c>
    </row>
    <row r="9" spans="1:5" x14ac:dyDescent="0.2">
      <c r="A9" s="4">
        <v>4</v>
      </c>
      <c r="B9" s="4" t="s">
        <v>14</v>
      </c>
      <c r="C9" s="7">
        <v>0.1</v>
      </c>
      <c r="D9" s="4" t="s">
        <v>10</v>
      </c>
      <c r="E9" s="6" t="s">
        <v>15</v>
      </c>
    </row>
    <row r="10" spans="1:5" x14ac:dyDescent="0.2">
      <c r="A10" s="4">
        <v>5</v>
      </c>
      <c r="B10" s="4" t="s">
        <v>16</v>
      </c>
      <c r="C10" s="4">
        <f>C8*C9</f>
        <v>18.809999999999999</v>
      </c>
      <c r="D10" s="4" t="s">
        <v>7</v>
      </c>
      <c r="E10" s="6" t="s">
        <v>17</v>
      </c>
    </row>
    <row r="11" spans="1:5" x14ac:dyDescent="0.2">
      <c r="A11" s="4">
        <v>6</v>
      </c>
      <c r="B11" s="4" t="s">
        <v>18</v>
      </c>
      <c r="C11" s="8">
        <v>0.08</v>
      </c>
      <c r="D11" s="4" t="s">
        <v>19</v>
      </c>
      <c r="E11" s="6" t="s">
        <v>20</v>
      </c>
    </row>
    <row r="13" spans="1:5" x14ac:dyDescent="0.2">
      <c r="B13" s="3" t="s">
        <v>21</v>
      </c>
    </row>
    <row r="14" spans="1:5" x14ac:dyDescent="0.2">
      <c r="A14" s="4">
        <v>7</v>
      </c>
      <c r="B14" s="4" t="s">
        <v>22</v>
      </c>
      <c r="C14" s="5">
        <v>5000000</v>
      </c>
      <c r="D14" s="4" t="s">
        <v>23</v>
      </c>
      <c r="E14" s="6" t="s">
        <v>24</v>
      </c>
    </row>
    <row r="15" spans="1:5" x14ac:dyDescent="0.2">
      <c r="A15" s="4">
        <v>8</v>
      </c>
      <c r="B15" s="4" t="s">
        <v>25</v>
      </c>
      <c r="C15" s="8">
        <v>3.0000000000000001E-3</v>
      </c>
      <c r="D15" s="4" t="s">
        <v>26</v>
      </c>
      <c r="E15" s="6" t="s">
        <v>27</v>
      </c>
    </row>
    <row r="16" spans="1:5" x14ac:dyDescent="0.2">
      <c r="A16" s="4">
        <v>9</v>
      </c>
      <c r="B16" s="4" t="s">
        <v>28</v>
      </c>
      <c r="C16" s="7">
        <v>5.0000000000000001E-3</v>
      </c>
      <c r="D16" s="4" t="s">
        <v>10</v>
      </c>
      <c r="E16" s="6" t="s">
        <v>29</v>
      </c>
    </row>
    <row r="17" spans="1:5" x14ac:dyDescent="0.2">
      <c r="A17" s="4">
        <v>10</v>
      </c>
      <c r="B17" s="4" t="s">
        <v>30</v>
      </c>
      <c r="C17" s="7">
        <v>0.2</v>
      </c>
      <c r="D17" s="4" t="s">
        <v>10</v>
      </c>
      <c r="E17" s="6" t="s">
        <v>31</v>
      </c>
    </row>
    <row r="18" spans="1:5" x14ac:dyDescent="0.2">
      <c r="A18" s="4">
        <v>11</v>
      </c>
      <c r="B18" s="4" t="s">
        <v>32</v>
      </c>
      <c r="C18" s="8">
        <v>0.08</v>
      </c>
      <c r="D18" s="4" t="s">
        <v>10</v>
      </c>
      <c r="E18" s="6" t="s">
        <v>33</v>
      </c>
    </row>
    <row r="20" spans="1:5" x14ac:dyDescent="0.2">
      <c r="B20" s="3" t="s">
        <v>34</v>
      </c>
    </row>
    <row r="21" spans="1:5" x14ac:dyDescent="0.2">
      <c r="A21" s="4">
        <v>12</v>
      </c>
      <c r="B21" s="4" t="s">
        <v>35</v>
      </c>
      <c r="C21" s="5">
        <v>45000</v>
      </c>
      <c r="D21" s="4" t="s">
        <v>36</v>
      </c>
      <c r="E21" s="6" t="s">
        <v>37</v>
      </c>
    </row>
    <row r="22" spans="1:5" x14ac:dyDescent="0.2">
      <c r="A22" s="4">
        <v>13</v>
      </c>
      <c r="B22" s="4" t="s">
        <v>38</v>
      </c>
      <c r="C22" s="8">
        <v>0.05</v>
      </c>
      <c r="D22" s="4" t="s">
        <v>19</v>
      </c>
      <c r="E22" s="6" t="s">
        <v>39</v>
      </c>
    </row>
    <row r="23" spans="1:5" x14ac:dyDescent="0.2">
      <c r="A23" s="4">
        <v>14</v>
      </c>
      <c r="B23" s="4" t="s">
        <v>40</v>
      </c>
      <c r="C23" s="7">
        <v>0.18</v>
      </c>
      <c r="D23" s="4" t="s">
        <v>10</v>
      </c>
      <c r="E23" s="6" t="s">
        <v>41</v>
      </c>
    </row>
    <row r="24" spans="1:5" x14ac:dyDescent="0.2">
      <c r="A24" s="4">
        <v>15</v>
      </c>
      <c r="B24" s="4" t="s">
        <v>42</v>
      </c>
      <c r="C24" s="8">
        <v>0.02</v>
      </c>
      <c r="D24" s="4" t="s">
        <v>43</v>
      </c>
      <c r="E24" s="6" t="s">
        <v>44</v>
      </c>
    </row>
    <row r="25" spans="1:5" x14ac:dyDescent="0.2">
      <c r="A25" s="4">
        <v>16</v>
      </c>
      <c r="B25" s="4" t="s">
        <v>45</v>
      </c>
      <c r="C25" s="7">
        <v>0.05</v>
      </c>
      <c r="D25" s="4" t="s">
        <v>10</v>
      </c>
      <c r="E25" s="6" t="s">
        <v>46</v>
      </c>
    </row>
    <row r="26" spans="1:5" x14ac:dyDescent="0.2">
      <c r="A26" s="4">
        <v>17</v>
      </c>
      <c r="B26" s="4" t="s">
        <v>47</v>
      </c>
      <c r="C26" s="9">
        <v>25000</v>
      </c>
      <c r="D26" s="4" t="s">
        <v>23</v>
      </c>
      <c r="E26" s="6" t="s">
        <v>48</v>
      </c>
    </row>
    <row r="27" spans="1:5" x14ac:dyDescent="0.2">
      <c r="A27" s="4">
        <v>18</v>
      </c>
      <c r="B27" s="4" t="s">
        <v>49</v>
      </c>
      <c r="C27" s="8">
        <v>5.0000000000000001E-3</v>
      </c>
      <c r="D27" s="4" t="s">
        <v>26</v>
      </c>
      <c r="E27" s="6" t="s">
        <v>50</v>
      </c>
    </row>
    <row r="28" spans="1:5" x14ac:dyDescent="0.2">
      <c r="A28" s="4">
        <v>19</v>
      </c>
      <c r="B28" s="4" t="s">
        <v>51</v>
      </c>
      <c r="C28" s="9">
        <v>180</v>
      </c>
      <c r="D28" s="4" t="s">
        <v>52</v>
      </c>
      <c r="E28" s="6" t="s">
        <v>53</v>
      </c>
    </row>
    <row r="29" spans="1:5" x14ac:dyDescent="0.2">
      <c r="A29" s="4">
        <v>20</v>
      </c>
      <c r="B29" s="4" t="s">
        <v>54</v>
      </c>
      <c r="C29" s="8">
        <v>0.05</v>
      </c>
      <c r="D29" s="4" t="s">
        <v>19</v>
      </c>
      <c r="E29" s="6" t="s">
        <v>55</v>
      </c>
    </row>
    <row r="31" spans="1:5" x14ac:dyDescent="0.2">
      <c r="B31" s="3" t="s">
        <v>56</v>
      </c>
    </row>
    <row r="32" spans="1:5" x14ac:dyDescent="0.2">
      <c r="A32" s="4">
        <v>21</v>
      </c>
      <c r="B32" s="4" t="s">
        <v>57</v>
      </c>
      <c r="C32" s="10">
        <v>0.7</v>
      </c>
      <c r="D32" s="4" t="s">
        <v>58</v>
      </c>
      <c r="E32" s="6" t="s">
        <v>59</v>
      </c>
    </row>
    <row r="33" spans="1:5" x14ac:dyDescent="0.2">
      <c r="A33" s="4">
        <v>22</v>
      </c>
      <c r="B33" s="4" t="s">
        <v>60</v>
      </c>
      <c r="C33" s="10">
        <v>0.8</v>
      </c>
      <c r="D33" s="4" t="s">
        <v>58</v>
      </c>
      <c r="E33" s="6" t="s">
        <v>61</v>
      </c>
    </row>
    <row r="34" spans="1:5" x14ac:dyDescent="0.2">
      <c r="A34" s="4">
        <v>23</v>
      </c>
      <c r="B34" s="4" t="s">
        <v>62</v>
      </c>
      <c r="C34" s="10">
        <v>0.95</v>
      </c>
      <c r="D34" s="4" t="s">
        <v>58</v>
      </c>
      <c r="E34" s="6" t="s">
        <v>63</v>
      </c>
    </row>
    <row r="35" spans="1:5" x14ac:dyDescent="0.2">
      <c r="A35" s="4">
        <v>24</v>
      </c>
      <c r="B35" s="4" t="s">
        <v>64</v>
      </c>
      <c r="C35" s="10">
        <v>1.05</v>
      </c>
      <c r="D35" s="4" t="s">
        <v>58</v>
      </c>
      <c r="E35" s="6" t="s">
        <v>65</v>
      </c>
    </row>
    <row r="36" spans="1:5" x14ac:dyDescent="0.2">
      <c r="A36" s="4">
        <v>25</v>
      </c>
      <c r="B36" s="4" t="s">
        <v>66</v>
      </c>
      <c r="C36" s="10">
        <v>1</v>
      </c>
      <c r="D36" s="4" t="s">
        <v>58</v>
      </c>
      <c r="E36" s="6" t="s">
        <v>67</v>
      </c>
    </row>
    <row r="37" spans="1:5" x14ac:dyDescent="0.2">
      <c r="A37" s="4">
        <v>26</v>
      </c>
      <c r="B37" s="4" t="s">
        <v>68</v>
      </c>
      <c r="C37" s="10">
        <v>0.85</v>
      </c>
      <c r="D37" s="4" t="s">
        <v>58</v>
      </c>
      <c r="E37" s="6" t="s">
        <v>69</v>
      </c>
    </row>
    <row r="38" spans="1:5" x14ac:dyDescent="0.2">
      <c r="A38" s="4">
        <v>27</v>
      </c>
      <c r="B38" s="4" t="s">
        <v>70</v>
      </c>
      <c r="C38" s="10">
        <v>0.75</v>
      </c>
      <c r="D38" s="4" t="s">
        <v>58</v>
      </c>
      <c r="E38" s="6" t="s">
        <v>71</v>
      </c>
    </row>
    <row r="39" spans="1:5" x14ac:dyDescent="0.2">
      <c r="A39" s="4">
        <v>28</v>
      </c>
      <c r="B39" s="4" t="s">
        <v>72</v>
      </c>
      <c r="C39" s="10">
        <v>0.9</v>
      </c>
      <c r="D39" s="4" t="s">
        <v>58</v>
      </c>
      <c r="E39" s="6" t="s">
        <v>61</v>
      </c>
    </row>
    <row r="40" spans="1:5" x14ac:dyDescent="0.2">
      <c r="A40" s="4">
        <v>29</v>
      </c>
      <c r="B40" s="4" t="s">
        <v>73</v>
      </c>
      <c r="C40" s="10">
        <v>1.1499999999999999</v>
      </c>
      <c r="D40" s="4" t="s">
        <v>58</v>
      </c>
      <c r="E40" s="6" t="s">
        <v>74</v>
      </c>
    </row>
    <row r="41" spans="1:5" x14ac:dyDescent="0.2">
      <c r="A41" s="4">
        <v>30</v>
      </c>
      <c r="B41" s="4" t="s">
        <v>75</v>
      </c>
      <c r="C41" s="10">
        <v>1.2</v>
      </c>
      <c r="D41" s="4" t="s">
        <v>58</v>
      </c>
      <c r="E41" s="6" t="s">
        <v>76</v>
      </c>
    </row>
    <row r="42" spans="1:5" x14ac:dyDescent="0.2">
      <c r="A42" s="4">
        <v>31</v>
      </c>
      <c r="B42" s="4" t="s">
        <v>77</v>
      </c>
      <c r="C42" s="10">
        <v>1.1000000000000001</v>
      </c>
      <c r="D42" s="4" t="s">
        <v>58</v>
      </c>
      <c r="E42" s="6" t="s">
        <v>78</v>
      </c>
    </row>
    <row r="43" spans="1:5" x14ac:dyDescent="0.2">
      <c r="A43" s="4">
        <v>32</v>
      </c>
      <c r="B43" s="4" t="s">
        <v>79</v>
      </c>
      <c r="C43" s="10">
        <v>0.95</v>
      </c>
      <c r="D43" s="4" t="s">
        <v>58</v>
      </c>
      <c r="E43" s="6" t="s">
        <v>80</v>
      </c>
    </row>
    <row r="45" spans="1:5" x14ac:dyDescent="0.2">
      <c r="B45" s="3" t="s">
        <v>81</v>
      </c>
    </row>
    <row r="46" spans="1:5" x14ac:dyDescent="0.2">
      <c r="A46" s="4">
        <v>33</v>
      </c>
      <c r="B46" s="4" t="s">
        <v>82</v>
      </c>
      <c r="C46" s="9">
        <v>90000000</v>
      </c>
      <c r="D46" s="4" t="s">
        <v>23</v>
      </c>
      <c r="E46" s="6" t="s">
        <v>83</v>
      </c>
    </row>
    <row r="47" spans="1:5" x14ac:dyDescent="0.2">
      <c r="A47" s="4">
        <v>34</v>
      </c>
      <c r="B47" s="4" t="s">
        <v>84</v>
      </c>
      <c r="C47" s="11">
        <f>AVERAGE(C32:C43)</f>
        <v>0.94999999999999984</v>
      </c>
      <c r="E47" s="6" t="s">
        <v>85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S35"/>
  <sheetViews>
    <sheetView zoomScaleNormal="100" workbookViewId="0">
      <selection activeCell="F15" sqref="F15"/>
    </sheetView>
  </sheetViews>
  <sheetFormatPr baseColWidth="10" defaultColWidth="8.6640625" defaultRowHeight="15" x14ac:dyDescent="0.2"/>
  <cols>
    <col min="1" max="1" width="38" customWidth="1"/>
    <col min="2" max="2" width="10" customWidth="1"/>
    <col min="3" max="19" width="14" customWidth="1"/>
  </cols>
  <sheetData>
    <row r="1" spans="1:19" ht="16" x14ac:dyDescent="0.2">
      <c r="A1" s="28" t="s">
        <v>158</v>
      </c>
    </row>
    <row r="2" spans="1:19" x14ac:dyDescent="0.2">
      <c r="C2" s="1" t="s">
        <v>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9" x14ac:dyDescent="0.2">
      <c r="A3" s="12" t="s">
        <v>87</v>
      </c>
      <c r="B3" s="12" t="s">
        <v>88</v>
      </c>
      <c r="C3" s="13" t="s">
        <v>89</v>
      </c>
      <c r="D3" s="13" t="s">
        <v>90</v>
      </c>
      <c r="E3" s="13" t="s">
        <v>91</v>
      </c>
      <c r="F3" s="13" t="s">
        <v>92</v>
      </c>
      <c r="G3" s="13" t="s">
        <v>93</v>
      </c>
      <c r="H3" s="13" t="s">
        <v>94</v>
      </c>
      <c r="I3" s="13" t="s">
        <v>95</v>
      </c>
      <c r="J3" s="13" t="s">
        <v>96</v>
      </c>
      <c r="K3" s="13" t="s">
        <v>97</v>
      </c>
      <c r="L3" s="13" t="s">
        <v>98</v>
      </c>
      <c r="M3" s="13" t="s">
        <v>99</v>
      </c>
      <c r="N3" s="13" t="s">
        <v>100</v>
      </c>
      <c r="O3" s="14" t="s">
        <v>101</v>
      </c>
      <c r="P3" s="14" t="s">
        <v>102</v>
      </c>
      <c r="Q3" s="14" t="s">
        <v>103</v>
      </c>
      <c r="R3" s="14" t="s">
        <v>104</v>
      </c>
      <c r="S3" s="14" t="s">
        <v>105</v>
      </c>
    </row>
    <row r="5" spans="1:19" x14ac:dyDescent="0.2">
      <c r="A5" s="3" t="s">
        <v>5</v>
      </c>
    </row>
    <row r="6" spans="1:19" x14ac:dyDescent="0.2">
      <c r="A6" s="4" t="s">
        <v>106</v>
      </c>
      <c r="B6" s="4" t="s">
        <v>7</v>
      </c>
      <c r="C6" s="15">
        <f>Assumptions!C8</f>
        <v>188.1</v>
      </c>
      <c r="D6" s="15">
        <f>Assumptions!C8</f>
        <v>188.1</v>
      </c>
      <c r="E6" s="15">
        <f>Assumptions!C8</f>
        <v>188.1</v>
      </c>
      <c r="F6" s="15">
        <f>Assumptions!C8</f>
        <v>188.1</v>
      </c>
      <c r="G6" s="15">
        <f>Assumptions!C8</f>
        <v>188.1</v>
      </c>
      <c r="H6" s="15">
        <f>Assumptions!C8</f>
        <v>188.1</v>
      </c>
      <c r="I6" s="15">
        <f>Assumptions!C8</f>
        <v>188.1</v>
      </c>
      <c r="J6" s="15">
        <f>Assumptions!C8</f>
        <v>188.1</v>
      </c>
      <c r="K6" s="15">
        <f>Assumptions!C8</f>
        <v>188.1</v>
      </c>
      <c r="L6" s="15">
        <f>Assumptions!C8</f>
        <v>188.1</v>
      </c>
      <c r="M6" s="15">
        <f>Assumptions!C8</f>
        <v>188.1</v>
      </c>
      <c r="N6" s="15">
        <f>Assumptions!C8</f>
        <v>188.1</v>
      </c>
      <c r="O6" s="15">
        <f>Assumptions!C8</f>
        <v>188.1</v>
      </c>
      <c r="P6" s="15">
        <f>O6*(1+Assumptions!C11)</f>
        <v>203.148</v>
      </c>
      <c r="Q6" s="15">
        <f>P6*(1+Assumptions!C11)</f>
        <v>219.39984000000001</v>
      </c>
      <c r="R6" s="15">
        <f>Q6*(1+Assumptions!C11)</f>
        <v>236.95182720000003</v>
      </c>
      <c r="S6" s="15">
        <f>R6*(1+Assumptions!C11)</f>
        <v>255.90797337600006</v>
      </c>
    </row>
    <row r="7" spans="1:19" x14ac:dyDescent="0.2">
      <c r="A7" s="4" t="s">
        <v>107</v>
      </c>
      <c r="B7" s="4" t="s">
        <v>7</v>
      </c>
      <c r="C7" s="15">
        <f>Assumptions!C10</f>
        <v>18.809999999999999</v>
      </c>
      <c r="D7" s="15">
        <f>Assumptions!C10</f>
        <v>18.809999999999999</v>
      </c>
      <c r="E7" s="15">
        <f>Assumptions!C10</f>
        <v>18.809999999999999</v>
      </c>
      <c r="F7" s="15">
        <f>Assumptions!C10</f>
        <v>18.809999999999999</v>
      </c>
      <c r="G7" s="15">
        <f>Assumptions!C10</f>
        <v>18.809999999999999</v>
      </c>
      <c r="H7" s="15">
        <f>Assumptions!C10</f>
        <v>18.809999999999999</v>
      </c>
      <c r="I7" s="15">
        <f>Assumptions!C10</f>
        <v>18.809999999999999</v>
      </c>
      <c r="J7" s="15">
        <f>Assumptions!C10</f>
        <v>18.809999999999999</v>
      </c>
      <c r="K7" s="15">
        <f>Assumptions!C10</f>
        <v>18.809999999999999</v>
      </c>
      <c r="L7" s="15">
        <f>Assumptions!C10</f>
        <v>18.809999999999999</v>
      </c>
      <c r="M7" s="15">
        <f>Assumptions!C10</f>
        <v>18.809999999999999</v>
      </c>
      <c r="N7" s="15">
        <f>Assumptions!C10</f>
        <v>18.809999999999999</v>
      </c>
      <c r="O7" s="15">
        <f>Assumptions!C10</f>
        <v>18.809999999999999</v>
      </c>
      <c r="P7" s="15">
        <f>O7*(1+Assumptions!C11)</f>
        <v>20.314799999999998</v>
      </c>
      <c r="Q7" s="15">
        <f>P7*(1+Assumptions!C11)</f>
        <v>21.939983999999999</v>
      </c>
      <c r="R7" s="15">
        <f>Q7*(1+Assumptions!C11)</f>
        <v>23.695182720000002</v>
      </c>
      <c r="S7" s="15">
        <f>R7*(1+Assumptions!C11)</f>
        <v>25.590797337600005</v>
      </c>
    </row>
    <row r="9" spans="1:19" x14ac:dyDescent="0.2">
      <c r="A9" s="3" t="s">
        <v>108</v>
      </c>
    </row>
    <row r="10" spans="1:19" x14ac:dyDescent="0.2">
      <c r="A10" s="4" t="s">
        <v>109</v>
      </c>
      <c r="B10" s="4" t="s">
        <v>58</v>
      </c>
      <c r="C10" s="16">
        <f>Assumptions!C32</f>
        <v>0.7</v>
      </c>
      <c r="D10" s="16">
        <f>Assumptions!C33</f>
        <v>0.8</v>
      </c>
      <c r="E10" s="16">
        <f>Assumptions!C34</f>
        <v>0.95</v>
      </c>
      <c r="F10" s="16">
        <f>Assumptions!C35</f>
        <v>1.05</v>
      </c>
      <c r="G10" s="16">
        <f>Assumptions!C36</f>
        <v>1</v>
      </c>
      <c r="H10" s="16">
        <f>Assumptions!C37</f>
        <v>0.85</v>
      </c>
      <c r="I10" s="16">
        <f>Assumptions!C38</f>
        <v>0.75</v>
      </c>
      <c r="J10" s="16">
        <f>Assumptions!C39</f>
        <v>0.9</v>
      </c>
      <c r="K10" s="16">
        <f>Assumptions!C40</f>
        <v>1.1499999999999999</v>
      </c>
      <c r="L10" s="16">
        <f>Assumptions!C41</f>
        <v>1.2</v>
      </c>
      <c r="M10" s="16">
        <f>Assumptions!C42</f>
        <v>1.1000000000000001</v>
      </c>
      <c r="N10" s="16">
        <f>Assumptions!C43</f>
        <v>0.95</v>
      </c>
    </row>
    <row r="11" spans="1:19" x14ac:dyDescent="0.2">
      <c r="A11" s="4" t="s">
        <v>110</v>
      </c>
      <c r="B11" s="4" t="s">
        <v>23</v>
      </c>
      <c r="C11" s="17">
        <f>Assumptions!C14</f>
        <v>5000000</v>
      </c>
      <c r="D11" s="18">
        <f>C11*(1+Assumptions!$C$15)</f>
        <v>5014999.9999999991</v>
      </c>
      <c r="E11" s="18">
        <f>D11*(1+Assumptions!$C$15)</f>
        <v>5030044.9999999981</v>
      </c>
      <c r="F11" s="18">
        <f>E11*(1+Assumptions!$C$15)</f>
        <v>5045135.1349999979</v>
      </c>
      <c r="G11" s="18">
        <f>F11*(1+Assumptions!$C$15)</f>
        <v>5060270.5404049978</v>
      </c>
      <c r="H11" s="18">
        <f>G11*(1+Assumptions!$C$15)</f>
        <v>5075451.352026212</v>
      </c>
      <c r="I11" s="18">
        <f>H11*(1+Assumptions!$C$15)</f>
        <v>5090677.70608229</v>
      </c>
      <c r="J11" s="18">
        <f>I11*(1+Assumptions!$C$15)</f>
        <v>5105949.7392005362</v>
      </c>
      <c r="K11" s="18">
        <f>J11*(1+Assumptions!$C$15)</f>
        <v>5121267.5884181373</v>
      </c>
      <c r="L11" s="18">
        <f>K11*(1+Assumptions!$C$15)</f>
        <v>5136631.3911833912</v>
      </c>
      <c r="M11" s="18">
        <f>L11*(1+Assumptions!$C$15)</f>
        <v>5152041.2853569407</v>
      </c>
      <c r="N11" s="18">
        <f>M11*(1+Assumptions!$C$15)</f>
        <v>5167497.4092130112</v>
      </c>
      <c r="O11" s="18">
        <f>ROUND(AVERAGE(C11:N11),0)</f>
        <v>5083331</v>
      </c>
      <c r="P11" s="18">
        <f>ROUND(O11*(1+Assumptions!$C$15*12),0)</f>
        <v>5266331</v>
      </c>
      <c r="Q11" s="18">
        <f>ROUND(P11*(1+Assumptions!$C$15*12),0)</f>
        <v>5455919</v>
      </c>
      <c r="R11" s="18">
        <f>ROUND(Q11*(1+Assumptions!$C$15*12),0)</f>
        <v>5652332</v>
      </c>
      <c r="S11" s="18">
        <f>ROUND(R11*(1+Assumptions!$C$15*12),0)</f>
        <v>5855816</v>
      </c>
    </row>
    <row r="12" spans="1:19" x14ac:dyDescent="0.2">
      <c r="A12" s="4" t="s">
        <v>28</v>
      </c>
      <c r="B12" s="4" t="s">
        <v>10</v>
      </c>
      <c r="C12" s="19">
        <f>Assumptions!$C$16</f>
        <v>5.0000000000000001E-3</v>
      </c>
      <c r="D12" s="19">
        <f>Assumptions!$C$16</f>
        <v>5.0000000000000001E-3</v>
      </c>
      <c r="E12" s="19">
        <f>Assumptions!$C$16</f>
        <v>5.0000000000000001E-3</v>
      </c>
      <c r="F12" s="19">
        <f>Assumptions!$C$16</f>
        <v>5.0000000000000001E-3</v>
      </c>
      <c r="G12" s="19">
        <f>Assumptions!$C$16</f>
        <v>5.0000000000000001E-3</v>
      </c>
      <c r="H12" s="19">
        <f>Assumptions!$C$16</f>
        <v>5.0000000000000001E-3</v>
      </c>
      <c r="I12" s="19">
        <f>Assumptions!$C$16</f>
        <v>5.0000000000000001E-3</v>
      </c>
      <c r="J12" s="19">
        <f>Assumptions!$C$16</f>
        <v>5.0000000000000001E-3</v>
      </c>
      <c r="K12" s="19">
        <f>Assumptions!$C$16</f>
        <v>5.0000000000000001E-3</v>
      </c>
      <c r="L12" s="19">
        <f>Assumptions!$C$16</f>
        <v>5.0000000000000001E-3</v>
      </c>
      <c r="M12" s="19">
        <f>Assumptions!$C$16</f>
        <v>5.0000000000000001E-3</v>
      </c>
      <c r="N12" s="19">
        <f>Assumptions!$C$16</f>
        <v>5.0000000000000001E-3</v>
      </c>
    </row>
    <row r="13" spans="1:19" x14ac:dyDescent="0.2">
      <c r="A13" s="4" t="s">
        <v>111</v>
      </c>
      <c r="B13" s="4" t="s">
        <v>112</v>
      </c>
      <c r="C13" s="18">
        <f t="shared" ref="C13:N13" si="0">C11*C12*C10</f>
        <v>17500</v>
      </c>
      <c r="D13" s="18">
        <f t="shared" si="0"/>
        <v>20060</v>
      </c>
      <c r="E13" s="18">
        <f t="shared" si="0"/>
        <v>23892.713749999992</v>
      </c>
      <c r="F13" s="18">
        <f t="shared" si="0"/>
        <v>26486.959458749992</v>
      </c>
      <c r="G13" s="18">
        <f t="shared" si="0"/>
        <v>25301.352702024989</v>
      </c>
      <c r="H13" s="18">
        <f t="shared" si="0"/>
        <v>21570.668246111403</v>
      </c>
      <c r="I13" s="18">
        <f t="shared" si="0"/>
        <v>19090.041397808589</v>
      </c>
      <c r="J13" s="18">
        <f t="shared" si="0"/>
        <v>22976.773826402412</v>
      </c>
      <c r="K13" s="18">
        <f t="shared" si="0"/>
        <v>29447.288633404285</v>
      </c>
      <c r="L13" s="18">
        <f t="shared" si="0"/>
        <v>30819.788347100348</v>
      </c>
      <c r="M13" s="18">
        <f t="shared" si="0"/>
        <v>28336.227069463177</v>
      </c>
      <c r="N13" s="18">
        <f t="shared" si="0"/>
        <v>24545.612693761803</v>
      </c>
      <c r="O13" s="18">
        <f>SUM(C13:N13)</f>
        <v>290027.426124827</v>
      </c>
      <c r="P13" s="18">
        <f>ROUND(P11*Assumptions!$C$16*Assumptions!$C$47*12,0)</f>
        <v>300181</v>
      </c>
      <c r="Q13" s="18">
        <f>ROUND(Q11*Assumptions!$C$16*Assumptions!$C$47*12,0)</f>
        <v>310987</v>
      </c>
      <c r="R13" s="18">
        <f>ROUND(R11*Assumptions!$C$16*Assumptions!$C$47*12,0)</f>
        <v>322183</v>
      </c>
      <c r="S13" s="18">
        <f>ROUND(S11*Assumptions!$C$16*Assumptions!$C$47*12,0)</f>
        <v>333782</v>
      </c>
    </row>
    <row r="14" spans="1:19" x14ac:dyDescent="0.2">
      <c r="A14" s="4" t="s">
        <v>30</v>
      </c>
      <c r="B14" s="4" t="s">
        <v>10</v>
      </c>
      <c r="C14" s="19">
        <f>Assumptions!$C$17</f>
        <v>0.2</v>
      </c>
      <c r="D14" s="19">
        <f>Assumptions!$C$17</f>
        <v>0.2</v>
      </c>
      <c r="E14" s="19">
        <f>Assumptions!$C$17</f>
        <v>0.2</v>
      </c>
      <c r="F14" s="19">
        <f>Assumptions!$C$17</f>
        <v>0.2</v>
      </c>
      <c r="G14" s="19">
        <f>Assumptions!$C$17</f>
        <v>0.2</v>
      </c>
      <c r="H14" s="19">
        <f>Assumptions!$C$17</f>
        <v>0.2</v>
      </c>
      <c r="I14" s="19">
        <f>Assumptions!$C$17</f>
        <v>0.2</v>
      </c>
      <c r="J14" s="19">
        <f>Assumptions!$C$17</f>
        <v>0.2</v>
      </c>
      <c r="K14" s="19">
        <f>Assumptions!$C$17</f>
        <v>0.2</v>
      </c>
      <c r="L14" s="19">
        <f>Assumptions!$C$17</f>
        <v>0.2</v>
      </c>
      <c r="M14" s="19">
        <f>Assumptions!$C$17</f>
        <v>0.2</v>
      </c>
      <c r="N14" s="19">
        <f>Assumptions!$C$17</f>
        <v>0.2</v>
      </c>
    </row>
    <row r="15" spans="1:19" x14ac:dyDescent="0.2">
      <c r="A15" s="4" t="s">
        <v>113</v>
      </c>
      <c r="B15" s="4" t="s">
        <v>112</v>
      </c>
      <c r="C15" s="18">
        <f t="shared" ref="C15:N15" si="1">C13*C14</f>
        <v>3500</v>
      </c>
      <c r="D15" s="18">
        <f t="shared" si="1"/>
        <v>4012</v>
      </c>
      <c r="E15" s="18">
        <f t="shared" si="1"/>
        <v>4778.5427499999987</v>
      </c>
      <c r="F15" s="18">
        <f t="shared" si="1"/>
        <v>5297.3918917499986</v>
      </c>
      <c r="G15" s="18">
        <f t="shared" si="1"/>
        <v>5060.2705404049984</v>
      </c>
      <c r="H15" s="18">
        <f t="shared" si="1"/>
        <v>4314.1336492222808</v>
      </c>
      <c r="I15" s="18">
        <f>I13*I14</f>
        <v>3818.0082795617182</v>
      </c>
      <c r="J15" s="18">
        <f t="shared" si="1"/>
        <v>4595.3547652804828</v>
      </c>
      <c r="K15" s="18">
        <f t="shared" si="1"/>
        <v>5889.4577266808574</v>
      </c>
      <c r="L15" s="18">
        <f t="shared" si="1"/>
        <v>6163.9576694200696</v>
      </c>
      <c r="M15" s="18">
        <f t="shared" si="1"/>
        <v>5667.245413892636</v>
      </c>
      <c r="N15" s="18">
        <f t="shared" si="1"/>
        <v>4909.1225387523609</v>
      </c>
      <c r="O15" s="18">
        <f>SUM(C15:N15)</f>
        <v>58005.4852249654</v>
      </c>
      <c r="P15" s="18">
        <f>P13*Assumptions!$C$17</f>
        <v>60036.200000000004</v>
      </c>
      <c r="Q15" s="18">
        <f>Q13*Assumptions!$C$17</f>
        <v>62197.4</v>
      </c>
      <c r="R15" s="18">
        <f>R13*Assumptions!$C$17</f>
        <v>64436.600000000006</v>
      </c>
      <c r="S15" s="18">
        <f>S13*Assumptions!$C$17</f>
        <v>66756.400000000009</v>
      </c>
    </row>
    <row r="16" spans="1:19" x14ac:dyDescent="0.2">
      <c r="A16" s="4" t="s">
        <v>114</v>
      </c>
      <c r="B16" s="4" t="s">
        <v>10</v>
      </c>
      <c r="C16" s="19">
        <f>Assumptions!$C$18</f>
        <v>0.08</v>
      </c>
      <c r="D16" s="19">
        <f>Assumptions!$C$18</f>
        <v>0.08</v>
      </c>
      <c r="E16" s="19">
        <f>Assumptions!$C$18</f>
        <v>0.08</v>
      </c>
      <c r="F16" s="19">
        <f>Assumptions!$C$18</f>
        <v>0.08</v>
      </c>
      <c r="G16" s="19">
        <f>Assumptions!$C$18</f>
        <v>0.08</v>
      </c>
      <c r="H16" s="19">
        <f>Assumptions!$C$18</f>
        <v>0.08</v>
      </c>
      <c r="I16" s="19">
        <f>Assumptions!$C$18</f>
        <v>0.08</v>
      </c>
      <c r="J16" s="19">
        <f>Assumptions!$C$18</f>
        <v>0.08</v>
      </c>
      <c r="K16" s="19">
        <f>Assumptions!$C$18</f>
        <v>0.08</v>
      </c>
      <c r="L16" s="19">
        <f>Assumptions!$C$18</f>
        <v>0.08</v>
      </c>
      <c r="M16" s="19">
        <f>Assumptions!$C$18</f>
        <v>0.08</v>
      </c>
      <c r="N16" s="19">
        <f>Assumptions!$C$18</f>
        <v>0.08</v>
      </c>
    </row>
    <row r="17" spans="1:19" x14ac:dyDescent="0.2">
      <c r="A17" s="20" t="s">
        <v>115</v>
      </c>
      <c r="B17" s="4" t="s">
        <v>112</v>
      </c>
      <c r="C17" s="21">
        <f t="shared" ref="C17:N17" si="2">C15*(1-C16)</f>
        <v>3220</v>
      </c>
      <c r="D17" s="21">
        <f t="shared" si="2"/>
        <v>3691.04</v>
      </c>
      <c r="E17" s="21">
        <f t="shared" si="2"/>
        <v>4396.259329999999</v>
      </c>
      <c r="F17" s="21">
        <f t="shared" si="2"/>
        <v>4873.6005404099988</v>
      </c>
      <c r="G17" s="21">
        <f t="shared" si="2"/>
        <v>4655.4488971725987</v>
      </c>
      <c r="H17" s="21">
        <f t="shared" si="2"/>
        <v>3969.0029572844987</v>
      </c>
      <c r="I17" s="21">
        <f t="shared" si="2"/>
        <v>3512.5676171967807</v>
      </c>
      <c r="J17" s="21">
        <f t="shared" si="2"/>
        <v>4227.7263840580445</v>
      </c>
      <c r="K17" s="21">
        <f t="shared" si="2"/>
        <v>5418.3011085463886</v>
      </c>
      <c r="L17" s="21">
        <f t="shared" si="2"/>
        <v>5670.8410558664646</v>
      </c>
      <c r="M17" s="21">
        <f t="shared" si="2"/>
        <v>5213.8657807812251</v>
      </c>
      <c r="N17" s="21">
        <f t="shared" si="2"/>
        <v>4516.3927356521726</v>
      </c>
      <c r="O17" s="21">
        <f>SUM(C17:N17)</f>
        <v>53365.046406968177</v>
      </c>
      <c r="P17" s="21">
        <f>P15*(1-Assumptions!$C$18)</f>
        <v>55233.304000000004</v>
      </c>
      <c r="Q17" s="21">
        <f>Q15*(1-Assumptions!$C$18)</f>
        <v>57221.608000000007</v>
      </c>
      <c r="R17" s="21">
        <f>R15*(1-Assumptions!$C$18)</f>
        <v>59281.672000000006</v>
      </c>
      <c r="S17" s="21">
        <f>S15*(1-Assumptions!$C$18)</f>
        <v>61415.888000000014</v>
      </c>
    </row>
    <row r="19" spans="1:19" x14ac:dyDescent="0.2">
      <c r="A19" s="3" t="s">
        <v>34</v>
      </c>
    </row>
    <row r="20" spans="1:19" x14ac:dyDescent="0.2">
      <c r="A20" s="4" t="s">
        <v>35</v>
      </c>
      <c r="B20" s="4" t="s">
        <v>36</v>
      </c>
      <c r="C20" s="17">
        <f>Assumptions!$C$21</f>
        <v>45000</v>
      </c>
      <c r="D20" s="17">
        <f>Assumptions!$C$21</f>
        <v>45000</v>
      </c>
      <c r="E20" s="17">
        <f>Assumptions!$C$21</f>
        <v>45000</v>
      </c>
      <c r="F20" s="17">
        <f>Assumptions!$C$21</f>
        <v>45000</v>
      </c>
      <c r="G20" s="17">
        <f>Assumptions!$C$21</f>
        <v>45000</v>
      </c>
      <c r="H20" s="17">
        <f>Assumptions!$C$21</f>
        <v>45000</v>
      </c>
      <c r="I20" s="17">
        <f>Assumptions!$C$21</f>
        <v>45000</v>
      </c>
      <c r="J20" s="17">
        <f>Assumptions!$C$21</f>
        <v>45000</v>
      </c>
      <c r="K20" s="17">
        <f>Assumptions!$C$21</f>
        <v>45000</v>
      </c>
      <c r="L20" s="17">
        <f>Assumptions!$C$21</f>
        <v>45000</v>
      </c>
      <c r="M20" s="17">
        <f>Assumptions!$C$21</f>
        <v>45000</v>
      </c>
      <c r="N20" s="17">
        <f>Assumptions!$C$21</f>
        <v>45000</v>
      </c>
      <c r="O20" s="17">
        <f>Assumptions!$C$21</f>
        <v>45000</v>
      </c>
      <c r="P20" s="18">
        <f>ROUND(O20*(1+Assumptions!$C$22),0)</f>
        <v>47250</v>
      </c>
      <c r="Q20" s="18">
        <f>ROUND(P20*(1+Assumptions!$C$22),0)</f>
        <v>49613</v>
      </c>
      <c r="R20" s="18">
        <f>ROUND(Q20*(1+Assumptions!$C$22),0)</f>
        <v>52094</v>
      </c>
      <c r="S20" s="18">
        <f>ROUND(R20*(1+Assumptions!$C$22),0)</f>
        <v>54699</v>
      </c>
    </row>
    <row r="21" spans="1:19" x14ac:dyDescent="0.2">
      <c r="A21" s="20" t="s">
        <v>116</v>
      </c>
      <c r="B21" s="4" t="s">
        <v>117</v>
      </c>
      <c r="C21" s="22">
        <f t="shared" ref="C21:N21" si="3">C17*C20/1000000</f>
        <v>144.9</v>
      </c>
      <c r="D21" s="22">
        <f t="shared" si="3"/>
        <v>166.0968</v>
      </c>
      <c r="E21" s="22">
        <f t="shared" si="3"/>
        <v>197.83166984999997</v>
      </c>
      <c r="F21" s="22">
        <f t="shared" si="3"/>
        <v>219.31202431844994</v>
      </c>
      <c r="G21" s="22">
        <f t="shared" si="3"/>
        <v>209.49520037276693</v>
      </c>
      <c r="H21" s="22">
        <f t="shared" si="3"/>
        <v>178.60513307780246</v>
      </c>
      <c r="I21" s="22">
        <f t="shared" si="3"/>
        <v>158.06554277385513</v>
      </c>
      <c r="J21" s="22">
        <f t="shared" si="3"/>
        <v>190.24768728261199</v>
      </c>
      <c r="K21" s="22">
        <f t="shared" si="3"/>
        <v>243.82354988458749</v>
      </c>
      <c r="L21" s="22">
        <f t="shared" si="3"/>
        <v>255.1878475139909</v>
      </c>
      <c r="M21" s="22">
        <f t="shared" si="3"/>
        <v>234.62396013515513</v>
      </c>
      <c r="N21" s="22">
        <f t="shared" si="3"/>
        <v>203.23767310434778</v>
      </c>
      <c r="O21" s="22">
        <f>SUM(C21:N21)</f>
        <v>2401.4270883135678</v>
      </c>
      <c r="P21" s="22">
        <f>P17*P20/1000000</f>
        <v>2609.7736140000002</v>
      </c>
      <c r="Q21" s="22">
        <f>Q17*Q20/1000000</f>
        <v>2838.9356377040003</v>
      </c>
      <c r="R21" s="22">
        <f>R17*R20/1000000</f>
        <v>3088.2194211680003</v>
      </c>
      <c r="S21" s="22">
        <f>S17*S20/1000000</f>
        <v>3359.3876577120009</v>
      </c>
    </row>
    <row r="22" spans="1:19" x14ac:dyDescent="0.2">
      <c r="A22" s="4" t="s">
        <v>118</v>
      </c>
      <c r="B22" s="4" t="s">
        <v>10</v>
      </c>
      <c r="C22" s="19">
        <f>Assumptions!$C$23</f>
        <v>0.18</v>
      </c>
      <c r="D22" s="19">
        <f>Assumptions!$C$23</f>
        <v>0.18</v>
      </c>
      <c r="E22" s="19">
        <f>Assumptions!$C$23</f>
        <v>0.18</v>
      </c>
      <c r="F22" s="19">
        <f>Assumptions!$C$23</f>
        <v>0.18</v>
      </c>
      <c r="G22" s="19">
        <f>Assumptions!$C$23</f>
        <v>0.18</v>
      </c>
      <c r="H22" s="19">
        <f>Assumptions!$C$23</f>
        <v>0.18</v>
      </c>
      <c r="I22" s="19">
        <f>Assumptions!$C$23</f>
        <v>0.18</v>
      </c>
      <c r="J22" s="19">
        <f>Assumptions!$C$23</f>
        <v>0.18</v>
      </c>
      <c r="K22" s="19">
        <f>Assumptions!$C$23</f>
        <v>0.18</v>
      </c>
      <c r="L22" s="19">
        <f>Assumptions!$C$23</f>
        <v>0.18</v>
      </c>
      <c r="M22" s="19">
        <f>Assumptions!$C$23</f>
        <v>0.18</v>
      </c>
      <c r="N22" s="19">
        <f>Assumptions!$C$23</f>
        <v>0.18</v>
      </c>
      <c r="O22" s="19">
        <f>Assumptions!$C$23</f>
        <v>0.18</v>
      </c>
      <c r="P22" s="23">
        <f>O22+Assumptions!$C$24</f>
        <v>0.19999999999999998</v>
      </c>
      <c r="Q22" s="23">
        <f>P22+Assumptions!$C$24</f>
        <v>0.21999999999999997</v>
      </c>
      <c r="R22" s="23">
        <f>Q22+Assumptions!$C$24</f>
        <v>0.23999999999999996</v>
      </c>
      <c r="S22" s="23">
        <f>R22+Assumptions!$C$24</f>
        <v>0.25999999999999995</v>
      </c>
    </row>
    <row r="23" spans="1:19" x14ac:dyDescent="0.2">
      <c r="A23" s="4" t="s">
        <v>45</v>
      </c>
      <c r="B23" s="4" t="s">
        <v>10</v>
      </c>
      <c r="C23" s="19">
        <f>Assumptions!$C$25</f>
        <v>0.05</v>
      </c>
      <c r="D23" s="19">
        <f>Assumptions!$C$25</f>
        <v>0.05</v>
      </c>
      <c r="E23" s="19">
        <f>Assumptions!$C$25</f>
        <v>0.05</v>
      </c>
      <c r="F23" s="19">
        <f>Assumptions!$C$25</f>
        <v>0.05</v>
      </c>
      <c r="G23" s="19">
        <f>Assumptions!$C$25</f>
        <v>0.05</v>
      </c>
      <c r="H23" s="19">
        <f>Assumptions!$C$25</f>
        <v>0.05</v>
      </c>
      <c r="I23" s="19">
        <f>Assumptions!$C$25</f>
        <v>0.05</v>
      </c>
      <c r="J23" s="19">
        <f>Assumptions!$C$25</f>
        <v>0.05</v>
      </c>
      <c r="K23" s="19">
        <f>Assumptions!$C$25</f>
        <v>0.05</v>
      </c>
      <c r="L23" s="19">
        <f>Assumptions!$C$25</f>
        <v>0.05</v>
      </c>
      <c r="M23" s="19">
        <f>Assumptions!$C$25</f>
        <v>0.05</v>
      </c>
      <c r="N23" s="19">
        <f>Assumptions!$C$25</f>
        <v>0.05</v>
      </c>
      <c r="O23" s="19">
        <f>Assumptions!$C$25</f>
        <v>0.05</v>
      </c>
      <c r="P23" s="19">
        <f>Assumptions!$C$25</f>
        <v>0.05</v>
      </c>
      <c r="Q23" s="19">
        <f>Assumptions!$C$25</f>
        <v>0.05</v>
      </c>
      <c r="R23" s="19">
        <f>Assumptions!$C$25</f>
        <v>0.05</v>
      </c>
      <c r="S23" s="19">
        <f>Assumptions!$C$25</f>
        <v>0.05</v>
      </c>
    </row>
    <row r="24" spans="1:19" x14ac:dyDescent="0.2">
      <c r="A24" s="20" t="s">
        <v>119</v>
      </c>
      <c r="B24" s="4" t="s">
        <v>117</v>
      </c>
      <c r="C24" s="22">
        <f>C21*C22*C23</f>
        <v>1.3041</v>
      </c>
      <c r="D24" s="22">
        <f t="shared" ref="C24:N24" si="4">D21*D22*D23</f>
        <v>1.4948712000000002</v>
      </c>
      <c r="E24" s="22">
        <f t="shared" si="4"/>
        <v>1.7804850286499996</v>
      </c>
      <c r="F24" s="22">
        <f t="shared" si="4"/>
        <v>1.9738082188660497</v>
      </c>
      <c r="G24" s="22">
        <f t="shared" si="4"/>
        <v>1.8854568033549022</v>
      </c>
      <c r="H24" s="22">
        <f t="shared" si="4"/>
        <v>1.6074461977002223</v>
      </c>
      <c r="I24" s="22">
        <f t="shared" si="4"/>
        <v>1.4225898849646963</v>
      </c>
      <c r="J24" s="22">
        <f t="shared" si="4"/>
        <v>1.7122291855435081</v>
      </c>
      <c r="K24" s="22">
        <f t="shared" si="4"/>
        <v>2.1944119489612874</v>
      </c>
      <c r="L24" s="22">
        <f t="shared" si="4"/>
        <v>2.2966906276259182</v>
      </c>
      <c r="M24" s="22">
        <f t="shared" si="4"/>
        <v>2.111615641216396</v>
      </c>
      <c r="N24" s="22">
        <f t="shared" si="4"/>
        <v>1.8291390579391302</v>
      </c>
      <c r="O24" s="22">
        <f>SUM(C24:N24)</f>
        <v>21.612843794822108</v>
      </c>
      <c r="P24" s="22">
        <f>P21*P22*P23</f>
        <v>26.097736140000002</v>
      </c>
      <c r="Q24" s="22">
        <f>Q21*Q22*Q23</f>
        <v>31.228292014744</v>
      </c>
      <c r="R24" s="22">
        <f>R21*R22*R23</f>
        <v>37.058633054015999</v>
      </c>
      <c r="S24" s="22">
        <f>S21*S22*S23</f>
        <v>43.672039550256009</v>
      </c>
    </row>
    <row r="26" spans="1:19" x14ac:dyDescent="0.2">
      <c r="A26" s="3" t="s">
        <v>120</v>
      </c>
    </row>
    <row r="27" spans="1:19" x14ac:dyDescent="0.2">
      <c r="A27" s="4" t="s">
        <v>121</v>
      </c>
      <c r="B27" s="4" t="s">
        <v>23</v>
      </c>
      <c r="C27" s="17">
        <f>Assumptions!$C$26</f>
        <v>25000</v>
      </c>
      <c r="D27" s="18">
        <f>ROUND(C27*(1+Assumptions!$C$27),0)</f>
        <v>25125</v>
      </c>
      <c r="E27" s="18">
        <f>ROUND(D27*(1+Assumptions!$C$27),0)</f>
        <v>25251</v>
      </c>
      <c r="F27" s="18">
        <f>ROUND(E27*(1+Assumptions!$C$27),0)</f>
        <v>25377</v>
      </c>
      <c r="G27" s="18">
        <f>ROUND(F27*(1+Assumptions!$C$27),0)</f>
        <v>25504</v>
      </c>
      <c r="H27" s="18">
        <f>ROUND(G27*(1+Assumptions!$C$27),0)</f>
        <v>25632</v>
      </c>
      <c r="I27" s="18">
        <f>ROUND(H27*(1+Assumptions!$C$27),0)</f>
        <v>25760</v>
      </c>
      <c r="J27" s="18">
        <f>ROUND(I27*(1+Assumptions!$C$27),0)</f>
        <v>25889</v>
      </c>
      <c r="K27" s="18">
        <f>ROUND(J27*(1+Assumptions!$C$27),0)</f>
        <v>26018</v>
      </c>
      <c r="L27" s="18">
        <f>ROUND(K27*(1+Assumptions!$C$27),0)</f>
        <v>26148</v>
      </c>
      <c r="M27" s="18">
        <f>ROUND(L27*(1+Assumptions!$C$27),0)</f>
        <v>26279</v>
      </c>
      <c r="N27" s="18">
        <f>ROUND(M27*(1+Assumptions!$C$27),0)</f>
        <v>26410</v>
      </c>
      <c r="O27" s="18">
        <f>ROUND(AVERAGE(C27:N27),0)</f>
        <v>25699</v>
      </c>
      <c r="P27" s="18">
        <f>ROUND(O27*(1+Assumptions!$C$27*12),0)</f>
        <v>27241</v>
      </c>
      <c r="Q27" s="18">
        <f>ROUND(P27*(1+Assumptions!$C$27*12),0)</f>
        <v>28875</v>
      </c>
      <c r="R27" s="18">
        <f>ROUND(Q27*(1+Assumptions!$C$27*12),0)</f>
        <v>30608</v>
      </c>
      <c r="S27" s="18">
        <f>ROUND(R27*(1+Assumptions!$C$27*12),0)</f>
        <v>32444</v>
      </c>
    </row>
    <row r="28" spans="1:19" x14ac:dyDescent="0.2">
      <c r="A28" s="4" t="s">
        <v>122</v>
      </c>
      <c r="B28" s="4" t="s">
        <v>52</v>
      </c>
      <c r="C28" s="17">
        <f>Assumptions!$C$28</f>
        <v>180</v>
      </c>
      <c r="D28" s="17">
        <f>Assumptions!$C$28</f>
        <v>180</v>
      </c>
      <c r="E28" s="17">
        <f>Assumptions!$C$28</f>
        <v>180</v>
      </c>
      <c r="F28" s="17">
        <f>Assumptions!$C$28</f>
        <v>180</v>
      </c>
      <c r="G28" s="17">
        <f>Assumptions!$C$28</f>
        <v>180</v>
      </c>
      <c r="H28" s="17">
        <f>Assumptions!$C$28</f>
        <v>180</v>
      </c>
      <c r="I28" s="17">
        <f>Assumptions!$C$28</f>
        <v>180</v>
      </c>
      <c r="J28" s="17">
        <f>Assumptions!$C$28</f>
        <v>180</v>
      </c>
      <c r="K28" s="17">
        <f>Assumptions!$C$28</f>
        <v>180</v>
      </c>
      <c r="L28" s="17">
        <f>Assumptions!$C$28</f>
        <v>180</v>
      </c>
      <c r="M28" s="17">
        <f>Assumptions!$C$28</f>
        <v>180</v>
      </c>
      <c r="N28" s="17">
        <f>Assumptions!$C$28</f>
        <v>180</v>
      </c>
      <c r="O28" s="17">
        <f>Assumptions!$C$28</f>
        <v>180</v>
      </c>
      <c r="P28" s="18">
        <f>ROUND(O28*(1+Assumptions!$C$29),0)</f>
        <v>189</v>
      </c>
      <c r="Q28" s="18">
        <f>ROUND(P28*(1+Assumptions!$C$29),0)</f>
        <v>198</v>
      </c>
      <c r="R28" s="18">
        <f>ROUND(Q28*(1+Assumptions!$C$29),0)</f>
        <v>208</v>
      </c>
      <c r="S28" s="18">
        <f>ROUND(R28*(1+Assumptions!$C$29),0)</f>
        <v>218</v>
      </c>
    </row>
    <row r="29" spans="1:19" x14ac:dyDescent="0.2">
      <c r="A29" s="20" t="s">
        <v>123</v>
      </c>
      <c r="B29" s="4" t="s">
        <v>117</v>
      </c>
      <c r="C29" s="22">
        <f t="shared" ref="C29:N29" si="5">C27*C28/1000000</f>
        <v>4.5</v>
      </c>
      <c r="D29" s="22">
        <f t="shared" si="5"/>
        <v>4.5225</v>
      </c>
      <c r="E29" s="22">
        <f t="shared" si="5"/>
        <v>4.5451800000000002</v>
      </c>
      <c r="F29" s="22">
        <f t="shared" si="5"/>
        <v>4.5678599999999996</v>
      </c>
      <c r="G29" s="22">
        <f t="shared" si="5"/>
        <v>4.5907200000000001</v>
      </c>
      <c r="H29" s="22">
        <f t="shared" si="5"/>
        <v>4.6137600000000001</v>
      </c>
      <c r="I29" s="22">
        <f t="shared" si="5"/>
        <v>4.6368</v>
      </c>
      <c r="J29" s="22">
        <f t="shared" si="5"/>
        <v>4.6600200000000003</v>
      </c>
      <c r="K29" s="22">
        <f t="shared" si="5"/>
        <v>4.6832399999999996</v>
      </c>
      <c r="L29" s="22">
        <f t="shared" si="5"/>
        <v>4.7066400000000002</v>
      </c>
      <c r="M29" s="22">
        <f t="shared" si="5"/>
        <v>4.7302200000000001</v>
      </c>
      <c r="N29" s="22">
        <f t="shared" si="5"/>
        <v>4.7538</v>
      </c>
      <c r="O29" s="22">
        <f>SUM(C29:N29)</f>
        <v>55.510739999999998</v>
      </c>
      <c r="P29" s="22">
        <f>P27*P28*12/1000000</f>
        <v>61.782587999999997</v>
      </c>
      <c r="Q29" s="22">
        <f>Q27*Q28*12/1000000</f>
        <v>68.606999999999999</v>
      </c>
      <c r="R29" s="22">
        <f>R27*R28*12/1000000</f>
        <v>76.397568000000007</v>
      </c>
      <c r="S29" s="22">
        <f>S27*S28*12/1000000</f>
        <v>84.873503999999997</v>
      </c>
    </row>
    <row r="31" spans="1:19" x14ac:dyDescent="0.2">
      <c r="A31" s="3" t="s">
        <v>124</v>
      </c>
    </row>
    <row r="32" spans="1:19" x14ac:dyDescent="0.2">
      <c r="A32" s="34" t="s">
        <v>159</v>
      </c>
      <c r="B32" s="4" t="s">
        <v>117</v>
      </c>
      <c r="C32" s="24">
        <f t="shared" ref="C32:S32" si="6">C24+C29</f>
        <v>5.8041</v>
      </c>
      <c r="D32" s="24">
        <f t="shared" si="6"/>
        <v>6.0173712000000004</v>
      </c>
      <c r="E32" s="24">
        <f t="shared" si="6"/>
        <v>6.3256650286499996</v>
      </c>
      <c r="F32" s="24">
        <f t="shared" si="6"/>
        <v>6.5416682188660493</v>
      </c>
      <c r="G32" s="24">
        <f t="shared" si="6"/>
        <v>6.4761768033549023</v>
      </c>
      <c r="H32" s="24">
        <f t="shared" si="6"/>
        <v>6.2212061977002229</v>
      </c>
      <c r="I32" s="24">
        <f t="shared" si="6"/>
        <v>6.0593898849646965</v>
      </c>
      <c r="J32" s="24">
        <f t="shared" si="6"/>
        <v>6.3722491855435086</v>
      </c>
      <c r="K32" s="24">
        <f t="shared" si="6"/>
        <v>6.8776519489612866</v>
      </c>
      <c r="L32" s="24">
        <f t="shared" si="6"/>
        <v>7.0033306276259184</v>
      </c>
      <c r="M32" s="24">
        <f t="shared" si="6"/>
        <v>6.8418356412163961</v>
      </c>
      <c r="N32" s="24">
        <f t="shared" si="6"/>
        <v>6.5829390579391305</v>
      </c>
      <c r="O32" s="24">
        <f t="shared" si="6"/>
        <v>77.12358379482211</v>
      </c>
      <c r="P32" s="24">
        <f t="shared" si="6"/>
        <v>87.880324139999999</v>
      </c>
      <c r="Q32" s="24">
        <f t="shared" si="6"/>
        <v>99.835292014743999</v>
      </c>
      <c r="R32" s="24">
        <f>R24+R29</f>
        <v>113.45620105401601</v>
      </c>
      <c r="S32" s="24">
        <f t="shared" si="6"/>
        <v>128.54554355025601</v>
      </c>
    </row>
    <row r="33" spans="1:19" x14ac:dyDescent="0.2">
      <c r="A33" s="4" t="s">
        <v>125</v>
      </c>
      <c r="B33" s="4" t="s">
        <v>117</v>
      </c>
      <c r="C33" s="25">
        <f t="shared" ref="C33:S33" si="7">C21</f>
        <v>144.9</v>
      </c>
      <c r="D33" s="25">
        <f t="shared" si="7"/>
        <v>166.0968</v>
      </c>
      <c r="E33" s="25">
        <f t="shared" si="7"/>
        <v>197.83166984999997</v>
      </c>
      <c r="F33" s="25">
        <f t="shared" si="7"/>
        <v>219.31202431844994</v>
      </c>
      <c r="G33" s="25">
        <f t="shared" si="7"/>
        <v>209.49520037276693</v>
      </c>
      <c r="H33" s="25">
        <f t="shared" si="7"/>
        <v>178.60513307780246</v>
      </c>
      <c r="I33" s="25">
        <f t="shared" si="7"/>
        <v>158.06554277385513</v>
      </c>
      <c r="J33" s="25">
        <f t="shared" si="7"/>
        <v>190.24768728261199</v>
      </c>
      <c r="K33" s="25">
        <f t="shared" si="7"/>
        <v>243.82354988458749</v>
      </c>
      <c r="L33" s="25">
        <f t="shared" si="7"/>
        <v>255.1878475139909</v>
      </c>
      <c r="M33" s="25">
        <f t="shared" si="7"/>
        <v>234.62396013515513</v>
      </c>
      <c r="N33" s="25">
        <f t="shared" si="7"/>
        <v>203.23767310434778</v>
      </c>
      <c r="O33" s="25">
        <f t="shared" si="7"/>
        <v>2401.4270883135678</v>
      </c>
      <c r="P33" s="25">
        <f t="shared" si="7"/>
        <v>2609.7736140000002</v>
      </c>
      <c r="Q33" s="25">
        <f t="shared" si="7"/>
        <v>2838.9356377040003</v>
      </c>
      <c r="R33" s="25">
        <f t="shared" si="7"/>
        <v>3088.2194211680003</v>
      </c>
      <c r="S33" s="25">
        <f t="shared" si="7"/>
        <v>3359.3876577120009</v>
      </c>
    </row>
    <row r="34" spans="1:19" x14ac:dyDescent="0.2">
      <c r="A34" s="4" t="s">
        <v>126</v>
      </c>
      <c r="B34" s="4" t="s">
        <v>10</v>
      </c>
      <c r="O34" s="23">
        <f>O21/O7/1000</f>
        <v>0.12766757513628749</v>
      </c>
      <c r="P34" s="23">
        <f>P21/P7/1000</f>
        <v>0.12846661616161617</v>
      </c>
      <c r="Q34" s="23">
        <f>Q21/Q7/1000</f>
        <v>0.12939551996501</v>
      </c>
      <c r="R34" s="23">
        <f>R21/R7/1000</f>
        <v>0.13033110812694337</v>
      </c>
      <c r="S34" s="23">
        <f>S21/S7/1000</f>
        <v>0.13127327036333197</v>
      </c>
    </row>
    <row r="35" spans="1:19" x14ac:dyDescent="0.2">
      <c r="A35" s="4" t="s">
        <v>127</v>
      </c>
      <c r="B35" s="4" t="s">
        <v>10</v>
      </c>
      <c r="P35" s="23">
        <f>(P32-O32)/O32</f>
        <v>0.13947407285681751</v>
      </c>
      <c r="Q35" s="23">
        <f>(Q32-P32)/P32</f>
        <v>0.13603691146722255</v>
      </c>
      <c r="R35" s="23">
        <f>(R32-Q32)/Q32</f>
        <v>0.13643380776870395</v>
      </c>
      <c r="S35" s="23">
        <f>(S32-R32)/R32</f>
        <v>0.13299707161053309</v>
      </c>
    </row>
  </sheetData>
  <mergeCells count="1">
    <mergeCell ref="C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A42"/>
  <sheetViews>
    <sheetView tabSelected="1" topLeftCell="A32" zoomScale="132" zoomScaleNormal="100" workbookViewId="0">
      <selection activeCell="A26" sqref="A26"/>
    </sheetView>
  </sheetViews>
  <sheetFormatPr baseColWidth="10" defaultColWidth="8.6640625" defaultRowHeight="15" x14ac:dyDescent="0.2"/>
  <cols>
    <col min="1" max="1" width="110" customWidth="1"/>
  </cols>
  <sheetData>
    <row r="1" spans="1:1" ht="17" x14ac:dyDescent="0.2">
      <c r="A1" s="33" t="s">
        <v>157</v>
      </c>
    </row>
    <row r="2" spans="1:1" x14ac:dyDescent="0.2">
      <c r="A2" s="26"/>
    </row>
    <row r="3" spans="1:1" x14ac:dyDescent="0.2">
      <c r="A3" s="27" t="s">
        <v>128</v>
      </c>
    </row>
    <row r="4" spans="1:1" x14ac:dyDescent="0.2">
      <c r="A4" s="38" t="s">
        <v>162</v>
      </c>
    </row>
    <row r="5" spans="1:1" ht="126" customHeight="1" x14ac:dyDescent="0.2">
      <c r="A5" s="37" t="s">
        <v>161</v>
      </c>
    </row>
    <row r="6" spans="1:1" x14ac:dyDescent="0.2">
      <c r="A6" s="31" t="s">
        <v>160</v>
      </c>
    </row>
    <row r="7" spans="1:1" x14ac:dyDescent="0.2">
      <c r="A7" s="26"/>
    </row>
    <row r="8" spans="1:1" x14ac:dyDescent="0.2">
      <c r="A8" s="27" t="s">
        <v>129</v>
      </c>
    </row>
    <row r="9" spans="1:1" ht="309" customHeight="1" x14ac:dyDescent="0.2">
      <c r="A9" s="37" t="s">
        <v>163</v>
      </c>
    </row>
    <row r="10" spans="1:1" x14ac:dyDescent="0.2">
      <c r="A10" s="26"/>
    </row>
    <row r="11" spans="1:1" x14ac:dyDescent="0.2">
      <c r="A11" s="27" t="s">
        <v>130</v>
      </c>
    </row>
    <row r="12" spans="1:1" x14ac:dyDescent="0.2">
      <c r="A12" s="26" t="s">
        <v>131</v>
      </c>
    </row>
    <row r="13" spans="1:1" x14ac:dyDescent="0.2">
      <c r="A13" s="26" t="s">
        <v>132</v>
      </c>
    </row>
    <row r="14" spans="1:1" x14ac:dyDescent="0.2">
      <c r="A14" s="26" t="s">
        <v>133</v>
      </c>
    </row>
    <row r="15" spans="1:1" x14ac:dyDescent="0.2">
      <c r="A15" s="26" t="s">
        <v>134</v>
      </c>
    </row>
    <row r="16" spans="1:1" x14ac:dyDescent="0.2">
      <c r="A16" s="26" t="s">
        <v>135</v>
      </c>
    </row>
    <row r="17" spans="1:1" x14ac:dyDescent="0.2">
      <c r="A17" s="26" t="s">
        <v>136</v>
      </c>
    </row>
    <row r="18" spans="1:1" x14ac:dyDescent="0.2">
      <c r="A18" s="26" t="s">
        <v>137</v>
      </c>
    </row>
    <row r="19" spans="1:1" x14ac:dyDescent="0.2">
      <c r="A19" s="26"/>
    </row>
    <row r="20" spans="1:1" x14ac:dyDescent="0.2">
      <c r="A20" s="27" t="s">
        <v>138</v>
      </c>
    </row>
    <row r="21" spans="1:1" x14ac:dyDescent="0.2">
      <c r="A21" s="26" t="s">
        <v>139</v>
      </c>
    </row>
    <row r="22" spans="1:1" x14ac:dyDescent="0.2">
      <c r="A22" s="26" t="s">
        <v>140</v>
      </c>
    </row>
    <row r="23" spans="1:1" x14ac:dyDescent="0.2">
      <c r="A23" s="26" t="s">
        <v>141</v>
      </c>
    </row>
    <row r="24" spans="1:1" x14ac:dyDescent="0.2">
      <c r="A24" s="26" t="s">
        <v>142</v>
      </c>
    </row>
    <row r="25" spans="1:1" x14ac:dyDescent="0.2">
      <c r="A25" s="31" t="s">
        <v>166</v>
      </c>
    </row>
    <row r="26" spans="1:1" x14ac:dyDescent="0.2">
      <c r="A26" s="26" t="s">
        <v>143</v>
      </c>
    </row>
    <row r="27" spans="1:1" x14ac:dyDescent="0.2">
      <c r="A27" s="26" t="s">
        <v>144</v>
      </c>
    </row>
    <row r="28" spans="1:1" x14ac:dyDescent="0.2">
      <c r="A28" s="26"/>
    </row>
    <row r="29" spans="1:1" x14ac:dyDescent="0.2">
      <c r="A29" s="27" t="s">
        <v>145</v>
      </c>
    </row>
    <row r="30" spans="1:1" ht="136" x14ac:dyDescent="0.2">
      <c r="A30" s="37" t="s">
        <v>165</v>
      </c>
    </row>
    <row r="31" spans="1:1" x14ac:dyDescent="0.2">
      <c r="A31" s="26"/>
    </row>
    <row r="32" spans="1:1" x14ac:dyDescent="0.2">
      <c r="A32" s="27" t="s">
        <v>146</v>
      </c>
    </row>
    <row r="33" spans="1:1" ht="136" x14ac:dyDescent="0.2">
      <c r="A33" s="37" t="s">
        <v>164</v>
      </c>
    </row>
    <row r="34" spans="1:1" x14ac:dyDescent="0.2">
      <c r="A34" s="31"/>
    </row>
    <row r="35" spans="1:1" x14ac:dyDescent="0.2">
      <c r="A35" s="27" t="s">
        <v>147</v>
      </c>
    </row>
    <row r="36" spans="1:1" x14ac:dyDescent="0.2">
      <c r="A36" s="32" t="s">
        <v>156</v>
      </c>
    </row>
    <row r="37" spans="1:1" x14ac:dyDescent="0.2">
      <c r="A37" s="32" t="s">
        <v>155</v>
      </c>
    </row>
    <row r="38" spans="1:1" x14ac:dyDescent="0.2">
      <c r="A38" s="32" t="s">
        <v>154</v>
      </c>
    </row>
    <row r="39" spans="1:1" x14ac:dyDescent="0.2">
      <c r="A39" s="32" t="s">
        <v>153</v>
      </c>
    </row>
    <row r="40" spans="1:1" x14ac:dyDescent="0.2">
      <c r="A40" s="32" t="s">
        <v>148</v>
      </c>
    </row>
    <row r="41" spans="1:1" x14ac:dyDescent="0.2">
      <c r="A41" s="31" t="s">
        <v>152</v>
      </c>
    </row>
    <row r="42" spans="1:1" x14ac:dyDescent="0.2">
      <c r="A42" s="32" t="s">
        <v>149</v>
      </c>
    </row>
  </sheetData>
  <hyperlinks>
    <hyperlink ref="A42" r:id="rId1" xr:uid="{0BA03731-BC58-F445-A557-0313C55702A6}"/>
    <hyperlink ref="A39" r:id="rId2" xr:uid="{73DDDE1A-577C-4C40-814B-DC5490276BC7}"/>
    <hyperlink ref="A40" r:id="rId3" xr:uid="{AA8C1A2C-AAE6-034F-B791-98C142516E59}"/>
    <hyperlink ref="A38" r:id="rId4" xr:uid="{0779A87D-C957-694C-BD41-85F889174609}"/>
    <hyperlink ref="A37" r:id="rId5" xr:uid="{DD9A45DD-EFBA-5A4D-84D3-A05D9A313A79}"/>
    <hyperlink ref="A36" r:id="rId6" xr:uid="{38569256-B960-564D-B687-8B894A9C5C5E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Baseline Model</vt:lpstr>
      <vt:lpstr>Пояснения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Dmitrij Jakovlev</cp:lastModifiedBy>
  <cp:revision>1</cp:revision>
  <dcterms:created xsi:type="dcterms:W3CDTF">2026-02-19T16:01:20Z</dcterms:created>
  <dcterms:modified xsi:type="dcterms:W3CDTF">2026-02-19T17:15:22Z</dcterms:modified>
  <dc:language>en-US</dc:language>
</cp:coreProperties>
</file>
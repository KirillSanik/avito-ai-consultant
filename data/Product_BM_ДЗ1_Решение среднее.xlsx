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goor_gen/Desktop/Авито/"/>
    </mc:Choice>
  </mc:AlternateContent>
  <xr:revisionPtr revIDLastSave="0" documentId="13_ncr:1_{E28B4185-6B06-B74D-9F9B-C5D9443A951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ssumptions" sheetId="1" r:id="rId1"/>
    <sheet name="Traction model (Scenario 1)" sheetId="2" r:id="rId2"/>
    <sheet name="Данные для ДЗ №1" sheetId="4" r:id="rId3"/>
    <sheet name="Пояснения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  <c r="D30" i="2"/>
  <c r="S31" i="2" l="1"/>
  <c r="D42" i="2"/>
  <c r="D31" i="2"/>
  <c r="D25" i="2"/>
  <c r="D21" i="2"/>
  <c r="E19" i="2"/>
  <c r="E18" i="2"/>
  <c r="D17" i="2"/>
  <c r="E10" i="2"/>
  <c r="F10" i="2" s="1"/>
  <c r="G10" i="2" s="1"/>
  <c r="H10" i="2" s="1"/>
  <c r="P2" i="2"/>
  <c r="AB2" i="2" s="1"/>
  <c r="E2" i="2"/>
  <c r="E25" i="2" l="1"/>
  <c r="E30" i="2"/>
  <c r="E38" i="2" s="1"/>
  <c r="E42" i="2" s="1"/>
  <c r="E17" i="2"/>
  <c r="I10" i="2"/>
  <c r="AC2" i="2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/>
  <c r="D39" i="2"/>
  <c r="F18" i="2"/>
  <c r="G18" i="2" s="1"/>
  <c r="F2" i="2"/>
  <c r="Q2" i="2"/>
  <c r="R2" i="2" s="1"/>
  <c r="S2" i="2" s="1"/>
  <c r="T2" i="2" s="1"/>
  <c r="U2" i="2" s="1"/>
  <c r="V2" i="2" s="1"/>
  <c r="W2" i="2" s="1"/>
  <c r="X2" i="2" s="1"/>
  <c r="Y2" i="2" s="1"/>
  <c r="Z2" i="2" s="1"/>
  <c r="AA2" i="2" s="1"/>
  <c r="E21" i="2"/>
  <c r="F19" i="2"/>
  <c r="E31" i="2"/>
  <c r="E39" i="2" s="1"/>
  <c r="E43" i="2" s="1"/>
  <c r="D29" i="2"/>
  <c r="E41" i="2" l="1"/>
  <c r="G19" i="2"/>
  <c r="F31" i="2"/>
  <c r="F39" i="2" s="1"/>
  <c r="F43" i="2" s="1"/>
  <c r="D37" i="2"/>
  <c r="F25" i="2"/>
  <c r="F17" i="2"/>
  <c r="F21" i="2"/>
  <c r="F30" i="2"/>
  <c r="D43" i="2"/>
  <c r="G2" i="2"/>
  <c r="J10" i="2"/>
  <c r="AZ2" i="2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AO2" i="2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E29" i="2"/>
  <c r="E37" i="2" l="1"/>
  <c r="K10" i="2"/>
  <c r="F38" i="2"/>
  <c r="F29" i="2"/>
  <c r="G31" i="2"/>
  <c r="H19" i="2"/>
  <c r="G21" i="2"/>
  <c r="G25" i="2"/>
  <c r="G30" i="2"/>
  <c r="H18" i="2"/>
  <c r="G17" i="2"/>
  <c r="H2" i="2"/>
  <c r="D41" i="2"/>
  <c r="H17" i="2" l="1"/>
  <c r="H21" i="2"/>
  <c r="G38" i="2"/>
  <c r="G42" i="2" s="1"/>
  <c r="G29" i="2"/>
  <c r="I2" i="2"/>
  <c r="F37" i="2"/>
  <c r="L10" i="2"/>
  <c r="F42" i="2"/>
  <c r="H25" i="2"/>
  <c r="I18" i="2"/>
  <c r="H30" i="2"/>
  <c r="H31" i="2"/>
  <c r="H39" i="2" s="1"/>
  <c r="H43" i="2" s="1"/>
  <c r="I19" i="2"/>
  <c r="G39" i="2"/>
  <c r="J19" i="2" l="1"/>
  <c r="I31" i="2"/>
  <c r="F41" i="2"/>
  <c r="G37" i="2"/>
  <c r="G43" i="2"/>
  <c r="M10" i="2"/>
  <c r="I30" i="2"/>
  <c r="J18" i="2"/>
  <c r="I21" i="2"/>
  <c r="I17" i="2"/>
  <c r="I25" i="2"/>
  <c r="H38" i="2"/>
  <c r="H29" i="2"/>
  <c r="J2" i="2"/>
  <c r="I39" i="2" l="1"/>
  <c r="K2" i="2"/>
  <c r="N10" i="2"/>
  <c r="K19" i="2"/>
  <c r="J31" i="2"/>
  <c r="J39" i="2" s="1"/>
  <c r="J43" i="2" s="1"/>
  <c r="H37" i="2"/>
  <c r="H42" i="2"/>
  <c r="J30" i="2"/>
  <c r="K18" i="2"/>
  <c r="J21" i="2"/>
  <c r="J17" i="2"/>
  <c r="J25" i="2"/>
  <c r="I38" i="2"/>
  <c r="I42" i="2" s="1"/>
  <c r="I29" i="2"/>
  <c r="G41" i="2"/>
  <c r="H41" i="2" l="1"/>
  <c r="L19" i="2"/>
  <c r="K31" i="2"/>
  <c r="K39" i="2" s="1"/>
  <c r="K43" i="2" s="1"/>
  <c r="O10" i="2"/>
  <c r="L2" i="2"/>
  <c r="I37" i="2"/>
  <c r="J38" i="2"/>
  <c r="J42" i="2" s="1"/>
  <c r="J41" i="2" s="1"/>
  <c r="J29" i="2"/>
  <c r="K17" i="2"/>
  <c r="L18" i="2"/>
  <c r="K30" i="2"/>
  <c r="K25" i="2"/>
  <c r="K21" i="2"/>
  <c r="I43" i="2"/>
  <c r="I41" i="2" s="1"/>
  <c r="J37" i="2" l="1"/>
  <c r="L17" i="2"/>
  <c r="M18" i="2"/>
  <c r="L30" i="2"/>
  <c r="L25" i="2"/>
  <c r="L21" i="2"/>
  <c r="M2" i="2"/>
  <c r="N2" i="2" s="1"/>
  <c r="O2" i="2" s="1"/>
  <c r="BO8" i="2"/>
  <c r="K29" i="2"/>
  <c r="K38" i="2"/>
  <c r="K42" i="2" s="1"/>
  <c r="K41" i="2" s="1"/>
  <c r="BS8" i="2"/>
  <c r="P10" i="2"/>
  <c r="BU8" i="2"/>
  <c r="L31" i="2"/>
  <c r="L39" i="2" s="1"/>
  <c r="L43" i="2" s="1"/>
  <c r="M19" i="2"/>
  <c r="BM35" i="2" l="1"/>
  <c r="BW35" i="2" s="1"/>
  <c r="BM27" i="2"/>
  <c r="BW27" i="2" s="1"/>
  <c r="BM26" i="2"/>
  <c r="BW26" i="2" s="1"/>
  <c r="BM22" i="2"/>
  <c r="BW22" i="2" s="1"/>
  <c r="K37" i="2"/>
  <c r="N19" i="2"/>
  <c r="M31" i="2"/>
  <c r="M39" i="2" s="1"/>
  <c r="L29" i="2"/>
  <c r="L38" i="2"/>
  <c r="L42" i="2" s="1"/>
  <c r="L41" i="2" s="1"/>
  <c r="M25" i="2"/>
  <c r="M21" i="2"/>
  <c r="M30" i="2"/>
  <c r="M17" i="2"/>
  <c r="N18" i="2"/>
  <c r="Q10" i="2"/>
  <c r="BM33" i="2"/>
  <c r="BW33" i="2" s="1"/>
  <c r="BM34" i="2"/>
  <c r="BW34" i="2" s="1"/>
  <c r="BM23" i="2"/>
  <c r="BW23" i="2" s="1"/>
  <c r="BQ8" i="2"/>
  <c r="BM8" i="2"/>
  <c r="BM10" i="2"/>
  <c r="R10" i="2" l="1"/>
  <c r="M43" i="2"/>
  <c r="O19" i="2"/>
  <c r="BM19" i="2" s="1"/>
  <c r="N31" i="2"/>
  <c r="N25" i="2"/>
  <c r="N30" i="2"/>
  <c r="N17" i="2"/>
  <c r="N21" i="2"/>
  <c r="O18" i="2"/>
  <c r="BW8" i="2"/>
  <c r="M38" i="2"/>
  <c r="M42" i="2" s="1"/>
  <c r="M41" i="2" s="1"/>
  <c r="M29" i="2"/>
  <c r="L37" i="2"/>
  <c r="M37" i="2" l="1"/>
  <c r="S10" i="2"/>
  <c r="O31" i="2"/>
  <c r="O39" i="2" s="1"/>
  <c r="O43" i="2" s="1"/>
  <c r="P19" i="2"/>
  <c r="O21" i="2"/>
  <c r="O25" i="2"/>
  <c r="P18" i="2"/>
  <c r="O30" i="2"/>
  <c r="O17" i="2"/>
  <c r="BM18" i="2"/>
  <c r="N39" i="2"/>
  <c r="N43" i="2" s="1"/>
  <c r="N38" i="2"/>
  <c r="N42" i="2" s="1"/>
  <c r="N29" i="2"/>
  <c r="N41" i="2" l="1"/>
  <c r="T10" i="2"/>
  <c r="P21" i="2"/>
  <c r="Q18" i="2"/>
  <c r="P25" i="2"/>
  <c r="P17" i="2"/>
  <c r="P30" i="2"/>
  <c r="N37" i="2"/>
  <c r="O29" i="2"/>
  <c r="O38" i="2"/>
  <c r="O42" i="2" s="1"/>
  <c r="O41" i="2" s="1"/>
  <c r="P31" i="2"/>
  <c r="Q19" i="2"/>
  <c r="BM31" i="2"/>
  <c r="O37" i="2" l="1"/>
  <c r="P29" i="2"/>
  <c r="P38" i="2"/>
  <c r="P42" i="2" s="1"/>
  <c r="U10" i="2"/>
  <c r="R19" i="2"/>
  <c r="Q31" i="2"/>
  <c r="Q39" i="2" s="1"/>
  <c r="Q43" i="2" s="1"/>
  <c r="Q30" i="2"/>
  <c r="R18" i="2"/>
  <c r="Q25" i="2"/>
  <c r="Q21" i="2"/>
  <c r="Q17" i="2"/>
  <c r="P39" i="2"/>
  <c r="P43" i="2" s="1"/>
  <c r="P37" i="2" l="1"/>
  <c r="R31" i="2"/>
  <c r="R39" i="2" s="1"/>
  <c r="R43" i="2" s="1"/>
  <c r="S19" i="2"/>
  <c r="V10" i="2"/>
  <c r="R30" i="2"/>
  <c r="S18" i="2"/>
  <c r="R25" i="2"/>
  <c r="R17" i="2"/>
  <c r="R21" i="2"/>
  <c r="Q38" i="2"/>
  <c r="Q42" i="2" s="1"/>
  <c r="Q41" i="2" s="1"/>
  <c r="Q29" i="2"/>
  <c r="P41" i="2"/>
  <c r="W10" i="2" l="1"/>
  <c r="T19" i="2"/>
  <c r="S39" i="2"/>
  <c r="S43" i="2" s="1"/>
  <c r="S17" i="2"/>
  <c r="S21" i="2"/>
  <c r="T18" i="2"/>
  <c r="S30" i="2"/>
  <c r="S25" i="2"/>
  <c r="R38" i="2"/>
  <c r="R42" i="2" s="1"/>
  <c r="R41" i="2" s="1"/>
  <c r="R29" i="2"/>
  <c r="Q37" i="2"/>
  <c r="R37" i="2" l="1"/>
  <c r="S29" i="2"/>
  <c r="S38" i="2"/>
  <c r="S42" i="2" s="1"/>
  <c r="S41" i="2" s="1"/>
  <c r="T17" i="2"/>
  <c r="T21" i="2"/>
  <c r="T30" i="2"/>
  <c r="T25" i="2"/>
  <c r="U18" i="2"/>
  <c r="U19" i="2"/>
  <c r="T31" i="2"/>
  <c r="T39" i="2" s="1"/>
  <c r="T43" i="2" s="1"/>
  <c r="X10" i="2"/>
  <c r="T29" i="2" l="1"/>
  <c r="T38" i="2"/>
  <c r="T42" i="2" s="1"/>
  <c r="T41" i="2" s="1"/>
  <c r="Y10" i="2"/>
  <c r="U25" i="2"/>
  <c r="V18" i="2"/>
  <c r="U30" i="2"/>
  <c r="U17" i="2"/>
  <c r="U21" i="2"/>
  <c r="S37" i="2"/>
  <c r="V19" i="2"/>
  <c r="U31" i="2"/>
  <c r="U39" i="2" s="1"/>
  <c r="U43" i="2" s="1"/>
  <c r="V31" i="2" l="1"/>
  <c r="V39" i="2" s="1"/>
  <c r="V43" i="2" s="1"/>
  <c r="W19" i="2"/>
  <c r="Z10" i="2"/>
  <c r="U38" i="2"/>
  <c r="U42" i="2" s="1"/>
  <c r="U41" i="2" s="1"/>
  <c r="U29" i="2"/>
  <c r="V25" i="2"/>
  <c r="W18" i="2"/>
  <c r="V30" i="2"/>
  <c r="V17" i="2"/>
  <c r="V21" i="2"/>
  <c r="T37" i="2"/>
  <c r="U37" i="2" l="1"/>
  <c r="W31" i="2"/>
  <c r="W39" i="2" s="1"/>
  <c r="W43" i="2" s="1"/>
  <c r="X19" i="2"/>
  <c r="V38" i="2"/>
  <c r="V42" i="2" s="1"/>
  <c r="V41" i="2" s="1"/>
  <c r="V29" i="2"/>
  <c r="W21" i="2"/>
  <c r="W25" i="2"/>
  <c r="W30" i="2"/>
  <c r="W17" i="2"/>
  <c r="X18" i="2"/>
  <c r="AA10" i="2"/>
  <c r="AB10" i="2" l="1"/>
  <c r="X21" i="2"/>
  <c r="X30" i="2"/>
  <c r="X17" i="2"/>
  <c r="X25" i="2"/>
  <c r="Y18" i="2"/>
  <c r="X31" i="2"/>
  <c r="X39" i="2" s="1"/>
  <c r="X43" i="2" s="1"/>
  <c r="Y19" i="2"/>
  <c r="W38" i="2"/>
  <c r="W42" i="2" s="1"/>
  <c r="W41" i="2" s="1"/>
  <c r="W29" i="2"/>
  <c r="V37" i="2"/>
  <c r="Y30" i="2" l="1"/>
  <c r="Z18" i="2"/>
  <c r="Y25" i="2"/>
  <c r="Y21" i="2"/>
  <c r="Y17" i="2"/>
  <c r="X38" i="2"/>
  <c r="X42" i="2" s="1"/>
  <c r="X41" i="2" s="1"/>
  <c r="X29" i="2"/>
  <c r="W37" i="2"/>
  <c r="AC10" i="2"/>
  <c r="Z19" i="2"/>
  <c r="Y31" i="2"/>
  <c r="Y39" i="2" s="1"/>
  <c r="Y43" i="2" s="1"/>
  <c r="Y29" i="2" l="1"/>
  <c r="Y38" i="2"/>
  <c r="Y42" i="2" s="1"/>
  <c r="Y41" i="2" s="1"/>
  <c r="AA19" i="2"/>
  <c r="Z31" i="2"/>
  <c r="Z39" i="2" s="1"/>
  <c r="Z43" i="2" s="1"/>
  <c r="AD10" i="2"/>
  <c r="X37" i="2"/>
  <c r="Z30" i="2"/>
  <c r="AA18" i="2"/>
  <c r="Z17" i="2"/>
  <c r="Z25" i="2"/>
  <c r="Z21" i="2"/>
  <c r="AA17" i="2" l="1"/>
  <c r="AA25" i="2"/>
  <c r="AA21" i="2"/>
  <c r="AB18" i="2"/>
  <c r="AA30" i="2"/>
  <c r="Y37" i="2"/>
  <c r="Z29" i="2"/>
  <c r="Z38" i="2"/>
  <c r="Z42" i="2" s="1"/>
  <c r="Z41" i="2" s="1"/>
  <c r="AE10" i="2"/>
  <c r="AA31" i="2"/>
  <c r="AA39" i="2" s="1"/>
  <c r="AA43" i="2" s="1"/>
  <c r="AB19" i="2"/>
  <c r="AB31" i="2" l="1"/>
  <c r="AC19" i="2"/>
  <c r="AA29" i="2"/>
  <c r="AA38" i="2"/>
  <c r="AA42" i="2" s="1"/>
  <c r="AA41" i="2" s="1"/>
  <c r="AF10" i="2"/>
  <c r="Z37" i="2"/>
  <c r="AB17" i="2"/>
  <c r="AB25" i="2"/>
  <c r="AB21" i="2"/>
  <c r="AC18" i="2"/>
  <c r="AB30" i="2"/>
  <c r="AB29" i="2" l="1"/>
  <c r="AB38" i="2"/>
  <c r="AB42" i="2" s="1"/>
  <c r="AC25" i="2"/>
  <c r="AC17" i="2"/>
  <c r="AC21" i="2"/>
  <c r="AD18" i="2"/>
  <c r="AC30" i="2"/>
  <c r="AG10" i="2"/>
  <c r="AA37" i="2"/>
  <c r="AD19" i="2"/>
  <c r="AC31" i="2"/>
  <c r="AC39" i="2" s="1"/>
  <c r="AC43" i="2" s="1"/>
  <c r="AB39" i="2"/>
  <c r="AB43" i="2" s="1"/>
  <c r="AB41" i="2" l="1"/>
  <c r="AH10" i="2"/>
  <c r="AC38" i="2"/>
  <c r="AC42" i="2" s="1"/>
  <c r="AC41" i="2" s="1"/>
  <c r="AC29" i="2"/>
  <c r="AB37" i="2"/>
  <c r="AE19" i="2"/>
  <c r="AD31" i="2"/>
  <c r="AD25" i="2"/>
  <c r="AD21" i="2"/>
  <c r="AE18" i="2"/>
  <c r="AD17" i="2"/>
  <c r="AD30" i="2"/>
  <c r="AD39" i="2" l="1"/>
  <c r="AD43" i="2" s="1"/>
  <c r="AI10" i="2"/>
  <c r="AE31" i="2"/>
  <c r="AE39" i="2" s="1"/>
  <c r="AE43" i="2" s="1"/>
  <c r="AF19" i="2"/>
  <c r="AD38" i="2"/>
  <c r="AD42" i="2" s="1"/>
  <c r="AD29" i="2"/>
  <c r="AE21" i="2"/>
  <c r="AF18" i="2"/>
  <c r="AE30" i="2"/>
  <c r="AE17" i="2"/>
  <c r="AE25" i="2"/>
  <c r="AC37" i="2"/>
  <c r="AE38" i="2" l="1"/>
  <c r="AE42" i="2" s="1"/>
  <c r="AE41" i="2" s="1"/>
  <c r="AE29" i="2"/>
  <c r="AD37" i="2"/>
  <c r="AF31" i="2"/>
  <c r="AG19" i="2"/>
  <c r="AF21" i="2"/>
  <c r="AG18" i="2"/>
  <c r="AF30" i="2"/>
  <c r="AF17" i="2"/>
  <c r="AF25" i="2"/>
  <c r="AD41" i="2"/>
  <c r="AJ10" i="2"/>
  <c r="AF29" i="2" l="1"/>
  <c r="AF38" i="2"/>
  <c r="AF42" i="2" s="1"/>
  <c r="AH19" i="2"/>
  <c r="AG31" i="2"/>
  <c r="AG39" i="2" s="1"/>
  <c r="AG43" i="2" s="1"/>
  <c r="AE37" i="2"/>
  <c r="AG30" i="2"/>
  <c r="AH18" i="2"/>
  <c r="AG17" i="2"/>
  <c r="AG25" i="2"/>
  <c r="AG21" i="2"/>
  <c r="AK10" i="2"/>
  <c r="AF39" i="2"/>
  <c r="AF43" i="2" s="1"/>
  <c r="AF37" i="2" l="1"/>
  <c r="AL10" i="2"/>
  <c r="AH30" i="2"/>
  <c r="AI18" i="2"/>
  <c r="AH17" i="2"/>
  <c r="AH25" i="2"/>
  <c r="AH21" i="2"/>
  <c r="AG38" i="2"/>
  <c r="AG42" i="2" s="1"/>
  <c r="AG41" i="2" s="1"/>
  <c r="AG29" i="2"/>
  <c r="AF41" i="2"/>
  <c r="AH31" i="2"/>
  <c r="AH39" i="2" s="1"/>
  <c r="AH43" i="2" s="1"/>
  <c r="AI19" i="2"/>
  <c r="AI17" i="2" l="1"/>
  <c r="AI21" i="2"/>
  <c r="AI30" i="2"/>
  <c r="AI25" i="2"/>
  <c r="AJ18" i="2"/>
  <c r="AM10" i="2"/>
  <c r="AG37" i="2"/>
  <c r="AJ19" i="2"/>
  <c r="AI31" i="2"/>
  <c r="AI39" i="2" s="1"/>
  <c r="AI43" i="2" s="1"/>
  <c r="AH38" i="2"/>
  <c r="AH42" i="2" s="1"/>
  <c r="AH41" i="2" s="1"/>
  <c r="AH29" i="2"/>
  <c r="AK19" i="2" l="1"/>
  <c r="AJ31" i="2"/>
  <c r="AJ39" i="2" s="1"/>
  <c r="AJ43" i="2" s="1"/>
  <c r="AH37" i="2"/>
  <c r="AN10" i="2"/>
  <c r="AJ17" i="2"/>
  <c r="AJ30" i="2"/>
  <c r="AK18" i="2"/>
  <c r="AJ25" i="2"/>
  <c r="AJ21" i="2"/>
  <c r="AI29" i="2"/>
  <c r="AI38" i="2"/>
  <c r="AI42" i="2" s="1"/>
  <c r="AI41" i="2" s="1"/>
  <c r="AK25" i="2" l="1"/>
  <c r="AK21" i="2"/>
  <c r="AL18" i="2"/>
  <c r="AK30" i="2"/>
  <c r="AK17" i="2"/>
  <c r="AJ29" i="2"/>
  <c r="AJ38" i="2"/>
  <c r="AJ42" i="2" s="1"/>
  <c r="AJ41" i="2" s="1"/>
  <c r="AL19" i="2"/>
  <c r="AK31" i="2"/>
  <c r="AK39" i="2" s="1"/>
  <c r="AK43" i="2" s="1"/>
  <c r="AO10" i="2"/>
  <c r="AI37" i="2"/>
  <c r="AJ37" i="2" l="1"/>
  <c r="AM19" i="2"/>
  <c r="AL31" i="2"/>
  <c r="AL39" i="2" s="1"/>
  <c r="AL43" i="2" s="1"/>
  <c r="AP10" i="2"/>
  <c r="AK38" i="2"/>
  <c r="AK42" i="2" s="1"/>
  <c r="AK41" i="2" s="1"/>
  <c r="AK29" i="2"/>
  <c r="AL25" i="2"/>
  <c r="AL21" i="2"/>
  <c r="AM18" i="2"/>
  <c r="AL30" i="2"/>
  <c r="AL17" i="2"/>
  <c r="AM21" i="2" l="1"/>
  <c r="AM30" i="2"/>
  <c r="AM25" i="2"/>
  <c r="AN18" i="2"/>
  <c r="AM17" i="2"/>
  <c r="AK37" i="2"/>
  <c r="AM31" i="2"/>
  <c r="AM39" i="2" s="1"/>
  <c r="AM43" i="2" s="1"/>
  <c r="AN19" i="2"/>
  <c r="AL38" i="2"/>
  <c r="AL42" i="2" s="1"/>
  <c r="AL41" i="2" s="1"/>
  <c r="AL29" i="2"/>
  <c r="AQ10" i="2"/>
  <c r="AN31" i="2" l="1"/>
  <c r="AO19" i="2"/>
  <c r="AL37" i="2"/>
  <c r="AN21" i="2"/>
  <c r="AN25" i="2"/>
  <c r="AN17" i="2"/>
  <c r="AO18" i="2"/>
  <c r="AN30" i="2"/>
  <c r="AR10" i="2"/>
  <c r="AM38" i="2"/>
  <c r="AM42" i="2" s="1"/>
  <c r="AM41" i="2" s="1"/>
  <c r="AM29" i="2"/>
  <c r="AN38" i="2" l="1"/>
  <c r="AN29" i="2"/>
  <c r="AO30" i="2"/>
  <c r="AP18" i="2"/>
  <c r="AO21" i="2"/>
  <c r="AO17" i="2"/>
  <c r="AO25" i="2"/>
  <c r="AP19" i="2"/>
  <c r="AO31" i="2"/>
  <c r="AO39" i="2" s="1"/>
  <c r="AO43" i="2" s="1"/>
  <c r="AS10" i="2"/>
  <c r="AN39" i="2"/>
  <c r="AM37" i="2"/>
  <c r="AP30" i="2" l="1"/>
  <c r="AQ18" i="2"/>
  <c r="AP21" i="2"/>
  <c r="AP17" i="2"/>
  <c r="AP25" i="2"/>
  <c r="AN43" i="2"/>
  <c r="AO29" i="2"/>
  <c r="AO38" i="2"/>
  <c r="AO42" i="2" s="1"/>
  <c r="AO41" i="2" s="1"/>
  <c r="AQ19" i="2"/>
  <c r="AP31" i="2"/>
  <c r="AN37" i="2"/>
  <c r="AN42" i="2"/>
  <c r="AT10" i="2"/>
  <c r="AN41" i="2" l="1"/>
  <c r="AU10" i="2"/>
  <c r="AP39" i="2"/>
  <c r="AR19" i="2"/>
  <c r="AQ31" i="2"/>
  <c r="AQ39" i="2" s="1"/>
  <c r="AQ43" i="2" s="1"/>
  <c r="AO37" i="2"/>
  <c r="AQ17" i="2"/>
  <c r="AR18" i="2"/>
  <c r="AQ25" i="2"/>
  <c r="AQ30" i="2"/>
  <c r="AQ21" i="2"/>
  <c r="AP38" i="2"/>
  <c r="AP42" i="2" s="1"/>
  <c r="AP29" i="2"/>
  <c r="AQ29" i="2" l="1"/>
  <c r="AQ38" i="2"/>
  <c r="AQ42" i="2" s="1"/>
  <c r="AQ41" i="2" s="1"/>
  <c r="AP43" i="2"/>
  <c r="AV10" i="2"/>
  <c r="AP37" i="2"/>
  <c r="AR17" i="2"/>
  <c r="AS18" i="2"/>
  <c r="AR25" i="2"/>
  <c r="AR30" i="2"/>
  <c r="AR21" i="2"/>
  <c r="AP41" i="2"/>
  <c r="AR31" i="2"/>
  <c r="AS19" i="2"/>
  <c r="AR39" i="2" l="1"/>
  <c r="AW10" i="2"/>
  <c r="AR29" i="2"/>
  <c r="AR38" i="2"/>
  <c r="AR42" i="2" s="1"/>
  <c r="AS25" i="2"/>
  <c r="AS30" i="2"/>
  <c r="AS17" i="2"/>
  <c r="AS21" i="2"/>
  <c r="AT18" i="2"/>
  <c r="AQ37" i="2"/>
  <c r="AT19" i="2"/>
  <c r="AS31" i="2"/>
  <c r="AS39" i="2" s="1"/>
  <c r="AS43" i="2" s="1"/>
  <c r="AU19" i="2" l="1"/>
  <c r="AT31" i="2"/>
  <c r="AR37" i="2"/>
  <c r="AX10" i="2"/>
  <c r="AT25" i="2"/>
  <c r="AT30" i="2"/>
  <c r="AT17" i="2"/>
  <c r="AT21" i="2"/>
  <c r="AU18" i="2"/>
  <c r="AR43" i="2"/>
  <c r="AR41" i="2" s="1"/>
  <c r="AS38" i="2"/>
  <c r="AS42" i="2" s="1"/>
  <c r="AS41" i="2" s="1"/>
  <c r="AS29" i="2"/>
  <c r="AU21" i="2" l="1"/>
  <c r="AV18" i="2"/>
  <c r="AU25" i="2"/>
  <c r="AU30" i="2"/>
  <c r="AU17" i="2"/>
  <c r="AT38" i="2"/>
  <c r="AT42" i="2" s="1"/>
  <c r="AT29" i="2"/>
  <c r="AS37" i="2"/>
  <c r="AT39" i="2"/>
  <c r="AU31" i="2"/>
  <c r="AU39" i="2" s="1"/>
  <c r="AU43" i="2" s="1"/>
  <c r="AV19" i="2"/>
  <c r="AY10" i="2"/>
  <c r="AT43" i="2" l="1"/>
  <c r="AT41" i="2" s="1"/>
  <c r="AV31" i="2"/>
  <c r="AV39" i="2" s="1"/>
  <c r="AV43" i="2" s="1"/>
  <c r="AW19" i="2"/>
  <c r="AU29" i="2"/>
  <c r="AU38" i="2"/>
  <c r="AU42" i="2" s="1"/>
  <c r="AU41" i="2" s="1"/>
  <c r="AZ10" i="2"/>
  <c r="AV21" i="2"/>
  <c r="AW18" i="2"/>
  <c r="AV30" i="2"/>
  <c r="AV25" i="2"/>
  <c r="AV17" i="2"/>
  <c r="AT37" i="2"/>
  <c r="AV29" i="2" l="1"/>
  <c r="AV38" i="2"/>
  <c r="AV42" i="2" s="1"/>
  <c r="AV41" i="2" s="1"/>
  <c r="BA10" i="2"/>
  <c r="AU37" i="2"/>
  <c r="AX19" i="2"/>
  <c r="AW31" i="2"/>
  <c r="AW39" i="2" s="1"/>
  <c r="AW43" i="2" s="1"/>
  <c r="AW30" i="2"/>
  <c r="AX18" i="2"/>
  <c r="AW25" i="2"/>
  <c r="AW17" i="2"/>
  <c r="AW21" i="2"/>
  <c r="BB10" i="2" l="1"/>
  <c r="AV37" i="2"/>
  <c r="AY19" i="2"/>
  <c r="AX31" i="2"/>
  <c r="AX39" i="2" s="1"/>
  <c r="AX43" i="2" s="1"/>
  <c r="AX30" i="2"/>
  <c r="AY18" i="2"/>
  <c r="AX25" i="2"/>
  <c r="AX21" i="2"/>
  <c r="AX17" i="2"/>
  <c r="AW38" i="2"/>
  <c r="AW42" i="2" s="1"/>
  <c r="AW41" i="2" s="1"/>
  <c r="AW29" i="2"/>
  <c r="BC10" i="2" l="1"/>
  <c r="AW37" i="2"/>
  <c r="AX38" i="2"/>
  <c r="AX42" i="2" s="1"/>
  <c r="AX41" i="2" s="1"/>
  <c r="AX29" i="2"/>
  <c r="AY17" i="2"/>
  <c r="AY21" i="2"/>
  <c r="AZ18" i="2"/>
  <c r="AY30" i="2"/>
  <c r="AY25" i="2"/>
  <c r="AZ19" i="2"/>
  <c r="AY31" i="2"/>
  <c r="AY39" i="2" s="1"/>
  <c r="AY43" i="2" s="1"/>
  <c r="AX37" i="2" l="1"/>
  <c r="AY29" i="2"/>
  <c r="AY38" i="2"/>
  <c r="AY42" i="2" s="1"/>
  <c r="AY41" i="2" s="1"/>
  <c r="AZ17" i="2"/>
  <c r="AZ21" i="2"/>
  <c r="AZ30" i="2"/>
  <c r="BA18" i="2"/>
  <c r="AZ25" i="2"/>
  <c r="BA19" i="2"/>
  <c r="AZ31" i="2"/>
  <c r="BD10" i="2"/>
  <c r="BB19" i="2" l="1"/>
  <c r="BA31" i="2"/>
  <c r="BA39" i="2" s="1"/>
  <c r="BA43" i="2" s="1"/>
  <c r="AZ29" i="2"/>
  <c r="AZ38" i="2"/>
  <c r="BE10" i="2"/>
  <c r="AZ39" i="2"/>
  <c r="BA25" i="2"/>
  <c r="BB18" i="2"/>
  <c r="BA30" i="2"/>
  <c r="BA17" i="2"/>
  <c r="BA21" i="2"/>
  <c r="AY37" i="2"/>
  <c r="AZ43" i="2" l="1"/>
  <c r="BF10" i="2"/>
  <c r="AZ42" i="2"/>
  <c r="BA38" i="2"/>
  <c r="BA42" i="2" s="1"/>
  <c r="BA41" i="2" s="1"/>
  <c r="BA29" i="2"/>
  <c r="AZ37" i="2"/>
  <c r="BB25" i="2"/>
  <c r="BC18" i="2"/>
  <c r="BB30" i="2"/>
  <c r="BB17" i="2"/>
  <c r="BB21" i="2"/>
  <c r="BB31" i="2"/>
  <c r="BC19" i="2"/>
  <c r="BB38" i="2" l="1"/>
  <c r="BB42" i="2" s="1"/>
  <c r="BB29" i="2"/>
  <c r="BC31" i="2"/>
  <c r="BC39" i="2" s="1"/>
  <c r="BC43" i="2" s="1"/>
  <c r="BD19" i="2"/>
  <c r="BC21" i="2"/>
  <c r="BC30" i="2"/>
  <c r="BC17" i="2"/>
  <c r="BC25" i="2"/>
  <c r="BD18" i="2"/>
  <c r="BG10" i="2"/>
  <c r="AZ41" i="2"/>
  <c r="BB39" i="2"/>
  <c r="BA37" i="2"/>
  <c r="BB43" i="2" l="1"/>
  <c r="BB37" i="2"/>
  <c r="BD21" i="2"/>
  <c r="BD30" i="2"/>
  <c r="BD17" i="2"/>
  <c r="BD25" i="2"/>
  <c r="BE18" i="2"/>
  <c r="BC38" i="2"/>
  <c r="BC42" i="2" s="1"/>
  <c r="BC41" i="2" s="1"/>
  <c r="BC29" i="2"/>
  <c r="BH10" i="2"/>
  <c r="BD31" i="2"/>
  <c r="BE19" i="2"/>
  <c r="BB41" i="2"/>
  <c r="BE30" i="2" l="1"/>
  <c r="BF18" i="2"/>
  <c r="BE25" i="2"/>
  <c r="BE21" i="2"/>
  <c r="BE17" i="2"/>
  <c r="BC37" i="2"/>
  <c r="BD38" i="2"/>
  <c r="BD42" i="2" s="1"/>
  <c r="BD29" i="2"/>
  <c r="BD39" i="2"/>
  <c r="BI10" i="2"/>
  <c r="BF19" i="2"/>
  <c r="BE31" i="2"/>
  <c r="BE39" i="2" s="1"/>
  <c r="BE43" i="2" s="1"/>
  <c r="BD37" i="2" l="1"/>
  <c r="BF30" i="2"/>
  <c r="BG18" i="2"/>
  <c r="BF21" i="2"/>
  <c r="BF17" i="2"/>
  <c r="BF25" i="2"/>
  <c r="BG19" i="2"/>
  <c r="BF31" i="2"/>
  <c r="BF39" i="2" s="1"/>
  <c r="BF43" i="2" s="1"/>
  <c r="BE29" i="2"/>
  <c r="BE38" i="2"/>
  <c r="BE42" i="2" s="1"/>
  <c r="BE41" i="2" s="1"/>
  <c r="BD43" i="2"/>
  <c r="BD41" i="2" s="1"/>
  <c r="BJ10" i="2"/>
  <c r="BK10" i="2" l="1"/>
  <c r="BF29" i="2"/>
  <c r="BF38" i="2"/>
  <c r="BF42" i="2" s="1"/>
  <c r="BF41" i="2" s="1"/>
  <c r="BH19" i="2"/>
  <c r="BG31" i="2"/>
  <c r="BG39" i="2" s="1"/>
  <c r="BG43" i="2" s="1"/>
  <c r="BE37" i="2"/>
  <c r="BG17" i="2"/>
  <c r="BG25" i="2"/>
  <c r="BH18" i="2"/>
  <c r="BG21" i="2"/>
  <c r="BG30" i="2"/>
  <c r="BG29" i="2" l="1"/>
  <c r="BG38" i="2"/>
  <c r="BG42" i="2" s="1"/>
  <c r="BG41" i="2" s="1"/>
  <c r="BI19" i="2"/>
  <c r="BH31" i="2"/>
  <c r="BH39" i="2" s="1"/>
  <c r="BH43" i="2" s="1"/>
  <c r="BF37" i="2"/>
  <c r="BH17" i="2"/>
  <c r="BH25" i="2"/>
  <c r="BI18" i="2"/>
  <c r="BH21" i="2"/>
  <c r="BH30" i="2"/>
  <c r="BS10" i="2"/>
  <c r="BU10" i="2"/>
  <c r="BO10" i="2"/>
  <c r="BQ10" i="2"/>
  <c r="BG37" i="2" l="1"/>
  <c r="BH29" i="2"/>
  <c r="BH38" i="2"/>
  <c r="BH42" i="2" s="1"/>
  <c r="BH41" i="2" s="1"/>
  <c r="BI25" i="2"/>
  <c r="BI21" i="2"/>
  <c r="BI17" i="2"/>
  <c r="BJ18" i="2"/>
  <c r="BI30" i="2"/>
  <c r="BJ19" i="2"/>
  <c r="BI31" i="2"/>
  <c r="BI39" i="2" s="1"/>
  <c r="BI43" i="2" s="1"/>
  <c r="BW10" i="2"/>
  <c r="BK19" i="2" l="1"/>
  <c r="BJ31" i="2"/>
  <c r="BJ39" i="2" s="1"/>
  <c r="BJ43" i="2" s="1"/>
  <c r="BJ25" i="2"/>
  <c r="BJ21" i="2"/>
  <c r="BJ17" i="2"/>
  <c r="BK18" i="2"/>
  <c r="BJ30" i="2"/>
  <c r="BH37" i="2"/>
  <c r="BI38" i="2"/>
  <c r="BI42" i="2" s="1"/>
  <c r="BI41" i="2" s="1"/>
  <c r="BI29" i="2"/>
  <c r="BI37" i="2" l="1"/>
  <c r="BJ38" i="2"/>
  <c r="BJ42" i="2" s="1"/>
  <c r="BJ41" i="2" s="1"/>
  <c r="BJ29" i="2"/>
  <c r="BK31" i="2"/>
  <c r="BO19" i="2"/>
  <c r="BU19" i="2"/>
  <c r="BQ19" i="2"/>
  <c r="BS19" i="2"/>
  <c r="BK21" i="2"/>
  <c r="BM21" i="2" s="1"/>
  <c r="BW21" i="2" s="1"/>
  <c r="BK30" i="2"/>
  <c r="BK17" i="2"/>
  <c r="BK25" i="2"/>
  <c r="BM25" i="2" s="1"/>
  <c r="BW25" i="2" s="1"/>
  <c r="BS18" i="2"/>
  <c r="BO18" i="2"/>
  <c r="BQ18" i="2"/>
  <c r="BU18" i="2"/>
  <c r="BJ37" i="2" l="1"/>
  <c r="BW18" i="2"/>
  <c r="BW19" i="2"/>
  <c r="BM17" i="2"/>
  <c r="BO17" i="2"/>
  <c r="BQ17" i="2"/>
  <c r="BS17" i="2"/>
  <c r="BU17" i="2"/>
  <c r="BK39" i="2"/>
  <c r="BO31" i="2"/>
  <c r="BQ31" i="2"/>
  <c r="BS31" i="2"/>
  <c r="BU31" i="2"/>
  <c r="BK29" i="2"/>
  <c r="BK38" i="2"/>
  <c r="BM30" i="2"/>
  <c r="BU30" i="2"/>
  <c r="BO30" i="2"/>
  <c r="BQ30" i="2"/>
  <c r="BS30" i="2"/>
  <c r="BW30" i="2" l="1"/>
  <c r="BK42" i="2"/>
  <c r="BM38" i="2"/>
  <c r="BQ38" i="2"/>
  <c r="BO38" i="2"/>
  <c r="BS38" i="2"/>
  <c r="BU38" i="2"/>
  <c r="BW31" i="2"/>
  <c r="BW17" i="2"/>
  <c r="BK37" i="2"/>
  <c r="BM29" i="2"/>
  <c r="BQ29" i="2"/>
  <c r="BO29" i="2"/>
  <c r="BS29" i="2"/>
  <c r="BU29" i="2"/>
  <c r="BK43" i="2"/>
  <c r="BQ39" i="2"/>
  <c r="BO39" i="2"/>
  <c r="BM39" i="2"/>
  <c r="BS39" i="2"/>
  <c r="BU39" i="2"/>
  <c r="BW38" i="2" l="1"/>
  <c r="BK41" i="2"/>
  <c r="BS42" i="2"/>
  <c r="BO42" i="2"/>
  <c r="BQ42" i="2"/>
  <c r="BM42" i="2"/>
  <c r="BU42" i="2"/>
  <c r="BW39" i="2"/>
  <c r="BW29" i="2"/>
  <c r="BU43" i="2"/>
  <c r="BM43" i="2"/>
  <c r="BO43" i="2"/>
  <c r="BQ43" i="2"/>
  <c r="BS43" i="2"/>
  <c r="BM37" i="2"/>
  <c r="BQ37" i="2"/>
  <c r="BS37" i="2"/>
  <c r="BO37" i="2"/>
  <c r="BU37" i="2"/>
  <c r="BW43" i="2" l="1"/>
  <c r="BW42" i="2"/>
  <c r="BM41" i="2"/>
  <c r="BO41" i="2"/>
  <c r="BQ41" i="2"/>
  <c r="BS41" i="2"/>
  <c r="BU41" i="2"/>
  <c r="BW37" i="2"/>
  <c r="BW41" i="2" l="1"/>
</calcChain>
</file>

<file path=xl/sharedStrings.xml><?xml version="1.0" encoding="utf-8"?>
<sst xmlns="http://schemas.openxmlformats.org/spreadsheetml/2006/main" count="264" uniqueCount="176">
  <si>
    <t>На этом листе описаны основые гипотезы, закладываемые в трекшн модель. Указаны вымышленные данные для понимания логики заполнения таблицы</t>
  </si>
  <si>
    <t>Гипотеза</t>
  </si>
  <si>
    <t>Метрика</t>
  </si>
  <si>
    <t>Status</t>
  </si>
  <si>
    <t>Confidence</t>
  </si>
  <si>
    <t>Confidence Rate</t>
  </si>
  <si>
    <t>uplift</t>
  </si>
  <si>
    <t>% раскатки</t>
  </si>
  <si>
    <t>Источник / обоснование</t>
  </si>
  <si>
    <t>Метод проверки</t>
  </si>
  <si>
    <t>Риск каннибализации</t>
  </si>
  <si>
    <t>Комментарий:</t>
  </si>
  <si>
    <t>Сценарий 1</t>
  </si>
  <si>
    <t>Сценарий 2</t>
  </si>
  <si>
    <t>Продвижение объявлений доступно 100% активных продавцов (платформа); baseline без расширений географии/аудитории</t>
  </si>
  <si>
    <t>Coverage</t>
  </si>
  <si>
    <t>done</t>
  </si>
  <si>
    <t>high</t>
  </si>
  <si>
    <t>Текущее состояние продукта: продвижение доступно всем активным продавцам на платформе (baseline из ДЗ №1: 12–15 млн активных продавцов).</t>
  </si>
  <si>
    <t>Baseline-допущение: покрытие 100% (без гео-экспансии/новых каналов). Uplift=0, rollout=100%.</t>
  </si>
  <si>
    <t>включено</t>
  </si>
  <si>
    <t>не включено</t>
  </si>
  <si>
    <t>Органический рост числа активных продавцов +2% YoY (без продуктовых инициатив)</t>
  </si>
  <si>
    <t>Active sellers</t>
  </si>
  <si>
    <t>medium</t>
  </si>
  <si>
    <t>Консервативное baseline-допущение для зрелого продукта: умеренный органический рост базы продавцов. Можно калибровать по историческим данным Avito/внутренней аналитике.</t>
  </si>
  <si>
    <t>В шаблоне uplift трактуется как годовое изменение параметра (YoY). Не связано с продуктовой инициативой.</t>
  </si>
  <si>
    <t>Доля продавцов, покупающих продвижение, стабильна на уровне 18% (диапазон 15–20%)</t>
  </si>
  <si>
    <t>Paid seller share</t>
  </si>
  <si>
    <t>Из ДЗ №1: доля продавцов, использующих платные опции продвижения, ориентир 15–20%. В baseline выбрано 18% (середина диапазона).</t>
  </si>
  <si>
    <t>Средний — при изменениях оффера/цены возможен переток между видами промо или другими платными сервисами продавца. В baseline считаем долю стабильной.</t>
  </si>
  <si>
    <t>Baseline: доля платящих фиксирована (uplift=0). Любое изменение доли — отдельная growth-гипотеза, не baseline.</t>
  </si>
  <si>
    <t>Средняя частота платных действий у платящего продавца — 2.08/мес (рассчитано из 5 млн действий и доли платящих)</t>
  </si>
  <si>
    <t>Actions / paid seller</t>
  </si>
  <si>
    <t>Восстановлено из якорей ДЗ №1: 5 млн платных действий/мес при 13.5 млн активных продавцов и 18% платящих ⇒ ~2.08 действий/мес на платящего.</t>
  </si>
  <si>
    <t>Важно: частоту не «придумываем», а выводим формулой из заданных объёмов, чтобы модель была проверяемой.</t>
  </si>
  <si>
    <t>Средняя цена платного действия 500 ₽, индексируется на 5% YoY (инфляция/пересмотр цен)</t>
  </si>
  <si>
    <t>Price per action</t>
  </si>
  <si>
    <t>wip</t>
  </si>
  <si>
    <t>Цена 500 ₽/действие выбрана так, чтобы при заданных объёмах попасть в диапазон ARPU из ДЗ №1 (1 200–3 500 ₽/год). Индексация 5% YoY — инфляционная.</t>
  </si>
  <si>
    <t>Baseline учитывает только индексацию (без изменения ценности/конверсий). При необходимости добавить альтернативный сценарий с 0% индексацией.</t>
  </si>
  <si>
    <t>Доля возвратов/отмен платных действий — 1% и остаётся стабильной (baseline)</t>
  </si>
  <si>
    <t>Refund rate</t>
  </si>
  <si>
    <t>Экспертное допущение для baseline: возвраты/отмены по промо низкие и стабильные. Требует валидации данными биллинга/поддержки.</t>
  </si>
  <si>
    <t>Метрика: refunds_amount/revenue и refunds_count/paid_actions; контроль пиков (инциденты, ошибки списаний).</t>
  </si>
  <si>
    <t>fact</t>
  </si>
  <si>
    <t>plan</t>
  </si>
  <si>
    <t>5Y</t>
  </si>
  <si>
    <t>Parameter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</si>
  <si>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</si>
  <si>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</si>
  <si>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</si>
  <si>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</si>
  <si>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</si>
  <si>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</si>
  <si>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</si>
  <si>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</si>
  <si>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</si>
  <si>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</si>
  <si>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</si>
  <si>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</si>
  <si>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</si>
  <si>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MARKET ASSUMPTIONS</t>
  </si>
  <si>
    <t>Ограничение сверху (top-down check): потенциальная база продавцов</t>
  </si>
  <si>
    <t>Active sellers (SAM upper bound)</t>
  </si>
  <si>
    <t>mln sellers</t>
  </si>
  <si>
    <t>Active sellers YoY growth (baseline)</t>
  </si>
  <si>
    <t>%</t>
  </si>
  <si>
    <t>Average price per paid action</t>
  </si>
  <si>
    <t>rub</t>
  </si>
  <si>
    <t>Price YoY indexation (baseline)</t>
  </si>
  <si>
    <t>Сезонный коэффициент</t>
  </si>
  <si>
    <t>Seasonal coefficient</t>
  </si>
  <si>
    <t>BASELINE</t>
  </si>
  <si>
    <t>Baseline (2.1 Продвижение): продавцы → покупка продвижения → платные действия → выручка</t>
  </si>
  <si>
    <t>Active sellers (monthly)</t>
  </si>
  <si>
    <t>mln</t>
  </si>
  <si>
    <t>C2C sellers</t>
  </si>
  <si>
    <t>Pro sellers</t>
  </si>
  <si>
    <t>CR active seller → buys promotion</t>
  </si>
  <si>
    <t>Paid actions per paying seller</t>
  </si>
  <si>
    <t>Paid promotion actions</t>
  </si>
  <si>
    <t>mln actions</t>
  </si>
  <si>
    <t>Paid actions fulfilled (net)</t>
  </si>
  <si>
    <t>abs</t>
  </si>
  <si>
    <t>Total Revenue (promotion)</t>
  </si>
  <si>
    <t>mln Rub</t>
  </si>
  <si>
    <t xml:space="preserve">1. Общие рыночные данные </t>
  </si>
  <si>
    <t>Продукт</t>
  </si>
  <si>
    <t>TAM (объём рынка, млрд ₽/год)</t>
  </si>
  <si>
    <t>SAM (доля онлайн-сегмента, %)</t>
  </si>
  <si>
    <t>SOM (доля Avito на рынке, оценка)</t>
  </si>
  <si>
    <t>Источник / примечание</t>
  </si>
  <si>
    <t>Не применимо как самостоятельный рынок</t>
  </si>
  <si>
    <t>—</t>
  </si>
  <si>
    <t>2.1 Продвижение объявлений</t>
  </si>
  <si>
    <t>Инфраструктурная фича, работает на уровне объявлений. Доступно всем при размещении объявлений (100% контента покрыта услугой).</t>
  </si>
  <si>
    <t>2. Ключевые продуктовые метрики Avito (оценочные, усреднённые)</t>
  </si>
  <si>
    <t>Значение</t>
  </si>
  <si>
    <t>Комментарий</t>
  </si>
  <si>
    <t>MAU (все направления)</t>
  </si>
  <si>
    <t>50 млн</t>
  </si>
  <si>
    <t>Общая аудитория Avito (источник: публичные отчёты)</t>
  </si>
  <si>
    <t>Конверсия просмотра объявления → контакт</t>
  </si>
  <si>
    <t>0,03–0,05%</t>
  </si>
  <si>
    <t>Зависит от категории (выше в дорогих, ниже в массовых)</t>
  </si>
  <si>
    <t>Среднее количество объявлений на пользователя (продавец) в месяц</t>
  </si>
  <si>
    <t>1.2–1.8</t>
  </si>
  <si>
    <t>C2C vs B2B</t>
  </si>
  <si>
    <t>Доля профессиональных продавцов в контенте</t>
  </si>
  <si>
    <t>20-50%</t>
  </si>
  <si>
    <t>в зависимости от категории</t>
  </si>
  <si>
    <t>Частота публикаций объявлений(активность)</t>
  </si>
  <si>
    <t>1.5 раза в месяц</t>
  </si>
  <si>
    <t>Усреднено для всех сегментов и категорий</t>
  </si>
  <si>
    <t>ARPU (с продавца, годовой)</t>
  </si>
  <si>
    <t>1 200 – 3 500 ₽</t>
  </si>
  <si>
    <t>Зависит от категории (выше в авто, недвижимости)</t>
  </si>
  <si>
    <t>GMV (на одно объявление)</t>
  </si>
  <si>
    <t>50 000 ₽ (электроника), 120 000 ₽ (авто), 300 000 ₽ (недвижимость)</t>
  </si>
  <si>
    <t>Можно давать по категориям</t>
  </si>
  <si>
    <t>Take Rate, %</t>
  </si>
  <si>
    <t>0,5-10%</t>
  </si>
  <si>
    <t>Зависит от категории (референс аналогов по рынку конкретной категории)</t>
  </si>
  <si>
    <t>Доля транзакций внутри платформы</t>
  </si>
  <si>
    <t>10–15% (растёт)</t>
  </si>
  <si>
    <t>Для корзины, примерки, КГТ — выше, усредненно для всей площадки, по категориям может значимо отличаться</t>
  </si>
  <si>
    <t>3. Разбивка по категориям</t>
  </si>
  <si>
    <t>Основная метрика (MAU, кол-во объявлений, число заказов)</t>
  </si>
  <si>
    <t>Драйверы роста</t>
  </si>
  <si>
    <t>Особенности baseline</t>
  </si>
  <si>
    <t>12–15 млн активных продавцов, 5 млн платных действий/мес</t>
  </si>
  <si>
    <t>Видимость, ROI для продавца, момент предложения</t>
  </si>
  <si>
    <t>Bottom-up: ARPU с продавца × число активных продавцов. Учитывается доля тех, кто использует платные опции (~15–20%), влияние срока размещения</t>
  </si>
  <si>
    <t>Краткий бизнес-контекст</t>
  </si>
  <si>
    <t>Направление и ЦА</t>
  </si>
  <si>
    <r>
      <t>Целевая аудитория:</t>
    </r>
    <r>
      <rPr>
        <sz val="10"/>
        <color rgb="FF000000"/>
        <rFont val="Arial"/>
        <family val="2"/>
        <scheme val="minor"/>
      </rPr>
      <t xml:space="preserve"> активные продавцы Avito (C2C и Pro/SMB). В модели использовано сегментирование C2C/Pro как прокси различий в поведении (у Pro обычно выше доля платящих и частота использования промо).</t>
    </r>
  </si>
  <si>
    <t>Какие проблемы решает продукт</t>
  </si>
  <si>
    <t>1.Объявление не получает достаточно показов/контактов из-за конкуренции 2. Требуется ускорить продажу или повысить вероятность контакта, 3. Есть неопределённость эффективности (ROI), поэтому часть продавцов не покупает продвижение или не повторяет его.</t>
  </si>
  <si>
    <r>
      <t xml:space="preserve">Я моделирую направление </t>
    </r>
    <r>
      <rPr>
        <b/>
        <sz val="10"/>
        <color rgb="FF000000"/>
        <rFont val="Arial"/>
        <family val="2"/>
        <scheme val="minor"/>
      </rPr>
      <t>“Продвижение объявлений”</t>
    </r>
    <r>
      <rPr>
        <sz val="10"/>
        <color rgb="FF000000"/>
        <rFont val="Arial"/>
        <family val="2"/>
        <scheme val="minor"/>
      </rPr>
      <t xml:space="preserve"> платные инструменты, которые повышают видимость объявлений продавца и помогают быстрее получить просмотры/контакты/сделку. Для Avito это монетизация продавцов; для продавца способ “не потеряться” в выдаче среди конкурентов.</t>
    </r>
  </si>
  <si>
    <t>Ключевые метрики успеха</t>
  </si>
  <si>
    <t>North star – выручка от платных услуг продвижения</t>
  </si>
  <si>
    <t>Целевая метрика – Доля повторных покупок услуг продвижения</t>
  </si>
  <si>
    <t>Прокси метрик – Activation rate, D7/D30 (Retention), Time to Value, ARPU, CSAT/CES общий на селлеров,</t>
  </si>
  <si>
    <t>Контр метрика – Отток покупок услуг продвижения, обращения в поддержку, NPS продавца</t>
  </si>
  <si>
    <t>Выбор метода расчёта baseline</t>
  </si>
  <si>
    <r>
      <t>Основной подход: bottom-up</t>
    </r>
    <r>
      <rPr>
        <sz val="10"/>
        <color rgb="FF000000"/>
        <rFont val="Arial"/>
        <family val="2"/>
        <scheme val="minor"/>
      </rPr>
      <t>, потому что для монетизации продвижения естественно разложить выручку на микропараметры поведения продавца. Это даёт прозрачность и проверяемость.</t>
    </r>
  </si>
  <si>
    <t>Формула bottom-up:</t>
  </si>
  <si>
    <t>Revenue(t) = Active sellers(t) × Paying share × Actions per paying seller × Seasonality(t) × Price(t) × (1 − Refund rate)</t>
  </si>
  <si>
    <t>Расчёт baseline (цепочка логики)</t>
  </si>
  <si>
    <t>Использованы стартовые диапазоны: Active sellers: 12–15 млн, Paid actions: ~5 млн/месяц, Paying share: 15–20%, ARPU: 1 200–3 500 ₽/год</t>
  </si>
  <si>
    <t xml:space="preserve">Обоснование реалистичности </t>
  </si>
  <si>
    <t>Active sellers не выходят за заданный диапазон (контроль ёмкости).</t>
  </si>
  <si>
    <t>Объём paid actions на старте близок к якорю (~5 млн/мес).</t>
  </si>
  <si>
    <t>ARPU_year попадает в диапазон 1 200–3 500 ₽ (top-down sanity-check).</t>
  </si>
  <si>
    <t>Среднее сезонных коэффициентов = 1.0 (нет скрытого роста).</t>
  </si>
  <si>
    <t>Нет “красных флагов”: двузначного роста без обоснования, конверсий/долей &gt; 100%, неадекватной частоты.</t>
  </si>
  <si>
    <r>
      <t xml:space="preserve">Цель работы построить </t>
    </r>
    <r>
      <rPr>
        <b/>
        <sz val="10"/>
        <color rgb="FF000000"/>
        <rFont val="Arial"/>
        <family val="2"/>
        <scheme val="minor"/>
      </rPr>
      <t>baseline-прогноз</t>
    </r>
    <r>
      <rPr>
        <sz val="10"/>
        <color rgb="FF000000"/>
        <rFont val="Arial"/>
        <family val="2"/>
        <scheme val="minor"/>
      </rPr>
      <t xml:space="preserve"> на 5 лет (первые 12 месяцев помесячно): реалистичную траекторию метрик </t>
    </r>
    <r>
      <rPr>
        <b/>
        <sz val="10"/>
        <color rgb="FF000000"/>
        <rFont val="Arial"/>
        <family val="2"/>
        <scheme val="minor"/>
      </rPr>
      <t>без учёта гипотез роста</t>
    </r>
    <r>
      <rPr>
        <sz val="10"/>
        <color rgb="FF000000"/>
        <rFont val="Arial"/>
        <family val="2"/>
        <scheme val="minor"/>
      </rPr>
      <t xml:space="preserve"> (без новых фич, редизайнов, изменения ценностного предложения). Baseline используется как “нулевая линия”, чтобы дальше считать инкремент от улучшений.</t>
    </r>
  </si>
  <si>
    <r>
      <t>Outputs (результаты):</t>
    </r>
    <r>
      <rPr>
        <sz val="10"/>
        <color rgb="FF000000"/>
        <rFont val="Arial"/>
        <family val="2"/>
        <scheme val="minor"/>
      </rPr>
      <t xml:space="preserve"> Paying sellers, Paid actions, Revenue, ARPU (sanity check).</t>
    </r>
  </si>
  <si>
    <r>
      <t>Inputs (ручки модели):</t>
    </r>
    <r>
      <rPr>
        <sz val="10"/>
        <color rgb="FF000000"/>
        <rFont val="Arial"/>
        <family val="2"/>
        <scheme val="minor"/>
      </rPr>
      <t xml:space="preserve"> Active sellers (в baseline инерционный рост), Paying share (фикс), Frequency (фикс), Price (индексация), Refund rate (фикс), Seasonality.</t>
    </r>
  </si>
  <si>
    <t>Active sellers: умеренный инерционный рост (YoY → MoM через 12-й корень). Price: индексация (YoY → MoM через 12-й корень). Seasonality: коэффициенты по месяцам со средним = 1.0, чтобы сезонность перераспределяла спрос внутри года, но не создавала скрытый рост.</t>
  </si>
  <si>
    <t>Риски и каннибализация</t>
  </si>
  <si>
    <r>
      <t>Внутренние риски модели:</t>
    </r>
    <r>
      <rPr>
        <sz val="10"/>
        <color rgb="FF000000"/>
        <rFont val="Arial"/>
        <family val="2"/>
        <scheme val="minor"/>
      </rPr>
      <t xml:space="preserve"> эластичность спроса к цене (индексация может снизить объём), изменение микса C2C/Pro и категорий, влияние качества выдачи на повторное использование.</t>
    </r>
  </si>
  <si>
    <r>
      <t>Внешние риски:</t>
    </r>
    <r>
      <rPr>
        <sz val="10"/>
        <color rgb="FF000000"/>
        <rFont val="Arial"/>
        <family val="2"/>
        <scheme val="minor"/>
      </rPr>
      <t xml:space="preserve"> макроэкономика, конкуренты, платёжные/регуляторные изменения, сезонные сдвиги спроса.</t>
    </r>
  </si>
  <si>
    <r>
      <t>Каннибализация:</t>
    </r>
    <r>
      <rPr>
        <sz val="10"/>
        <color rgb="FF000000"/>
        <rFont val="Arial"/>
        <family val="2"/>
        <scheme val="minor"/>
      </rPr>
      <t xml:space="preserve"> возможен переток между разными типами промо/платными инструментами продавца при изменении цен/оффера. В baseline каннибализация не моделируется (фиксируем текущий средний микс и отмечаем риск для будущих сценариев).</t>
    </r>
  </si>
  <si>
    <t>Низкий покрытие не перераспределяет выручку, это условие доступности продукта.</t>
  </si>
  <si>
    <t>Низкий рост базы влияет на объём, но не каннибализирует другие продукты напрямую.</t>
  </si>
  <si>
    <t>Низкий частота внутри продукта; возможен переток между типами промо, но в baseline фиксируем среднюю частоту.</t>
  </si>
  <si>
    <t>Средний рост цены может снижать объём действий или менять микс промо (каннибализация внутри промо). В baseline эластичность не моделируем.</t>
  </si>
  <si>
    <t>Низкий возвраты не создают каннибализацию, это корректировка net revenue.</t>
  </si>
  <si>
    <t>Guardrail для корректного net revenue. При росте &gt;2–3% сигнал о проблемах в оплате/качестве/ожиданиях.</t>
  </si>
  <si>
    <t>Coverage = % активных продавцов, у которых есть кнопка/опция “Продвинуть”.
Где смотреть: продуктовая аналитика / фичефлаги / список доступных функций.
Норма для baseline: ~100% (если нет гео-ограничений).</t>
  </si>
  <si>
    <t>Active sellers (MAU продавцов) по месяцам + сравнение год к году (YoY).
Где смотреть: ежемесячный отчёт по активным продавцам.
Норма: рост в коридоре 0–3% YoY без инициатив (или стабильность).</t>
  </si>
  <si>
    <t>Paying share = % активных продавцов, которые оплатили/активировали продвижение за месяц.
Где смотреть: биллинг/события оплаты продвижения.
Норма baseline: 15–20% (коридор из ДЗ), без тренда “вверх”.</t>
  </si>
  <si>
    <t>Frequency = среднее число платных действий на 1 платящего продавца в месяц.
Где смотреть: лог промо-действий + список платящих продавцов.
Норма baseline: примерно ~2 действия/мес (плюс сезонные колебания).</t>
  </si>
  <si>
    <t>Effective price = выручка от продвижения / кол-во платных действий (в месяц).
Где смотреть: отчёт по выручке промо + счётчик платных действий.
Норма baseline: около 500 ₽ сейчас и +0–5% YoY (если индексация).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</si>
</sst>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1" formatCode="0.000"/>
  </numFmts>
  <fonts count="23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Arial"/>
      <family val="2"/>
    </font>
    <font>
      <sz val="12"/>
      <color rgb="FF434343"/>
      <name val="Calibri"/>
      <family val="2"/>
    </font>
    <font>
      <sz val="12"/>
      <color rgb="FFFF0000"/>
      <name val="Calibri"/>
      <family val="2"/>
    </font>
    <font>
      <sz val="10"/>
      <color rgb="FF000000"/>
      <name val="Arial"/>
      <family val="2"/>
    </font>
    <font>
      <sz val="12"/>
      <color rgb="FF434343"/>
      <name val="Arial"/>
      <family val="2"/>
    </font>
    <font>
      <sz val="10"/>
      <color rgb="FF729A1D"/>
      <name val="Arial"/>
      <family val="2"/>
    </font>
    <font>
      <b/>
      <sz val="12"/>
      <color rgb="FF434343"/>
      <name val="Calibri"/>
      <family val="2"/>
    </font>
    <font>
      <sz val="12"/>
      <color rgb="FFAEAAAA"/>
      <name val="Calibri"/>
      <family val="2"/>
    </font>
    <font>
      <b/>
      <sz val="14"/>
      <color rgb="FF1D1D20"/>
      <name val="Calibri"/>
      <family val="2"/>
    </font>
    <font>
      <b/>
      <sz val="12"/>
      <color rgb="FF1D1D20"/>
      <name val="Calibri"/>
      <family val="2"/>
    </font>
    <font>
      <sz val="10"/>
      <color theme="1"/>
      <name val="Arial"/>
      <family val="2"/>
      <scheme val="minor"/>
    </font>
    <font>
      <sz val="12"/>
      <color rgb="FF1D1D20"/>
      <name val="Calibri"/>
      <family val="2"/>
    </font>
    <font>
      <b/>
      <sz val="14"/>
      <color rgb="FF1D1D20"/>
      <name val="Arial"/>
      <family val="2"/>
    </font>
    <font>
      <b/>
      <sz val="12"/>
      <color rgb="FF1D1D20"/>
      <name val="Arial"/>
      <family val="2"/>
    </font>
    <font>
      <sz val="12"/>
      <color rgb="FF1D1D20"/>
      <name val="Arial"/>
      <family val="2"/>
    </font>
    <font>
      <sz val="10"/>
      <color rgb="FF000000"/>
      <name val="Arial"/>
      <family val="2"/>
      <scheme val="minor"/>
    </font>
    <font>
      <sz val="14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A958C"/>
        <bgColor rgb="FFEA958C"/>
      </patternFill>
    </fill>
    <fill>
      <patternFill patternType="solid">
        <fgColor rgb="FFEFEFEF"/>
        <bgColor rgb="FFEFEFEF"/>
      </patternFill>
    </fill>
    <fill>
      <patternFill patternType="solid">
        <fgColor rgb="FFF2F2F2"/>
        <bgColor rgb="FFF2F2F2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F7F8FC"/>
        <bgColor rgb="FFF7F8FC"/>
      </patternFill>
    </fill>
    <fill>
      <patternFill patternType="solid">
        <fgColor rgb="FF00B050"/>
        <bgColor rgb="FFFFC000"/>
      </patternFill>
    </fill>
    <fill>
      <patternFill patternType="solid">
        <fgColor rgb="FF00B050"/>
        <bgColor rgb="FF92D050"/>
      </patternFill>
    </fill>
    <fill>
      <patternFill patternType="solid">
        <fgColor rgb="FF00B050"/>
        <bgColor rgb="FFFFCCFF"/>
      </patternFill>
    </fill>
    <fill>
      <patternFill patternType="solid">
        <fgColor theme="7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3" fillId="3" borderId="6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9" fontId="3" fillId="0" borderId="6" xfId="0" applyNumberFormat="1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4" borderId="6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" fillId="7" borderId="0" xfId="0" applyFont="1" applyFill="1"/>
    <xf numFmtId="0" fontId="1" fillId="0" borderId="0" xfId="0" applyFont="1"/>
    <xf numFmtId="0" fontId="4" fillId="8" borderId="0" xfId="0" applyFont="1" applyFill="1"/>
    <xf numFmtId="0" fontId="4" fillId="8" borderId="7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8" borderId="0" xfId="0" applyFont="1" applyFill="1"/>
    <xf numFmtId="0" fontId="4" fillId="8" borderId="8" xfId="0" applyFont="1" applyFill="1" applyBorder="1" applyAlignment="1">
      <alignment horizontal="center"/>
    </xf>
    <xf numFmtId="0" fontId="4" fillId="0" borderId="0" xfId="0" applyFont="1"/>
    <xf numFmtId="0" fontId="1" fillId="9" borderId="0" xfId="0" applyFont="1" applyFill="1"/>
    <xf numFmtId="0" fontId="2" fillId="0" borderId="9" xfId="0" applyFont="1" applyBorder="1"/>
    <xf numFmtId="0" fontId="1" fillId="0" borderId="10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0" xfId="0" applyFont="1"/>
    <xf numFmtId="0" fontId="7" fillId="0" borderId="7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8" xfId="0" applyFont="1" applyBorder="1" applyAlignment="1">
      <alignment horizontal="right"/>
    </xf>
    <xf numFmtId="0" fontId="8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7" xfId="0" applyFont="1" applyBorder="1"/>
    <xf numFmtId="0" fontId="1" fillId="0" borderId="7" xfId="0" applyFont="1" applyBorder="1"/>
    <xf numFmtId="0" fontId="5" fillId="0" borderId="12" xfId="0" applyFont="1" applyBorder="1" applyAlignment="1">
      <alignment horizontal="right"/>
    </xf>
    <xf numFmtId="0" fontId="1" fillId="0" borderId="12" xfId="0" applyFont="1" applyBorder="1"/>
    <xf numFmtId="0" fontId="9" fillId="0" borderId="0" xfId="0" applyFont="1" applyAlignment="1">
      <alignment horizontal="right"/>
    </xf>
    <xf numFmtId="0" fontId="7" fillId="0" borderId="13" xfId="0" applyFont="1" applyBorder="1"/>
    <xf numFmtId="0" fontId="1" fillId="0" borderId="14" xfId="0" applyFont="1" applyBorder="1"/>
    <xf numFmtId="0" fontId="1" fillId="0" borderId="13" xfId="0" applyFont="1" applyBorder="1"/>
    <xf numFmtId="0" fontId="1" fillId="0" borderId="15" xfId="0" applyFont="1" applyBorder="1"/>
    <xf numFmtId="0" fontId="5" fillId="0" borderId="5" xfId="0" applyFont="1" applyBorder="1"/>
    <xf numFmtId="0" fontId="1" fillId="0" borderId="5" xfId="0" applyFont="1" applyBorder="1"/>
    <xf numFmtId="0" fontId="5" fillId="0" borderId="0" xfId="0" applyFont="1"/>
    <xf numFmtId="10" fontId="1" fillId="9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left" wrapText="1"/>
    </xf>
    <xf numFmtId="0" fontId="2" fillId="0" borderId="2" xfId="0" applyFont="1" applyBorder="1"/>
    <xf numFmtId="0" fontId="1" fillId="0" borderId="3" xfId="0" applyFont="1" applyBorder="1"/>
    <xf numFmtId="9" fontId="1" fillId="0" borderId="3" xfId="0" applyNumberFormat="1" applyFont="1" applyBorder="1"/>
    <xf numFmtId="9" fontId="1" fillId="0" borderId="4" xfId="0" applyNumberFormat="1" applyFont="1" applyBorder="1"/>
    <xf numFmtId="0" fontId="2" fillId="0" borderId="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2" fillId="0" borderId="0" xfId="0" applyFont="1"/>
    <xf numFmtId="0" fontId="1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164" fontId="2" fillId="0" borderId="7" xfId="0" applyNumberFormat="1" applyFont="1" applyBorder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8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9" fontId="2" fillId="0" borderId="7" xfId="0" applyNumberFormat="1" applyFont="1" applyBorder="1" applyAlignment="1">
      <alignment horizontal="right"/>
    </xf>
    <xf numFmtId="9" fontId="2" fillId="0" borderId="0" xfId="0" applyNumberFormat="1" applyFont="1" applyAlignment="1">
      <alignment horizontal="right"/>
    </xf>
    <xf numFmtId="9" fontId="2" fillId="0" borderId="8" xfId="0" applyNumberFormat="1" applyFont="1" applyBorder="1" applyAlignment="1">
      <alignment horizontal="right"/>
    </xf>
    <xf numFmtId="9" fontId="1" fillId="0" borderId="7" xfId="0" applyNumberFormat="1" applyFont="1" applyBorder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8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9" fontId="2" fillId="0" borderId="7" xfId="0" applyNumberFormat="1" applyFont="1" applyBorder="1"/>
    <xf numFmtId="9" fontId="2" fillId="0" borderId="0" xfId="0" applyNumberFormat="1" applyFont="1"/>
    <xf numFmtId="9" fontId="2" fillId="0" borderId="8" xfId="0" applyNumberFormat="1" applyFont="1" applyBorder="1"/>
    <xf numFmtId="9" fontId="1" fillId="0" borderId="7" xfId="0" applyNumberFormat="1" applyFont="1" applyBorder="1"/>
    <xf numFmtId="9" fontId="1" fillId="0" borderId="0" xfId="0" applyNumberFormat="1" applyFont="1"/>
    <xf numFmtId="9" fontId="1" fillId="0" borderId="8" xfId="0" applyNumberFormat="1" applyFont="1" applyBorder="1"/>
    <xf numFmtId="1" fontId="2" fillId="0" borderId="7" xfId="0" applyNumberFormat="1" applyFont="1" applyBorder="1" applyAlignment="1">
      <alignment horizontal="right"/>
    </xf>
    <xf numFmtId="1" fontId="2" fillId="0" borderId="0" xfId="0" applyNumberFormat="1" applyFont="1" applyAlignment="1">
      <alignment horizontal="right"/>
    </xf>
    <xf numFmtId="1" fontId="1" fillId="0" borderId="0" xfId="0" applyNumberFormat="1" applyFont="1"/>
    <xf numFmtId="1" fontId="1" fillId="0" borderId="8" xfId="0" applyNumberFormat="1" applyFont="1" applyBorder="1"/>
    <xf numFmtId="1" fontId="1" fillId="0" borderId="7" xfId="0" applyNumberFormat="1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2" fontId="10" fillId="0" borderId="12" xfId="0" applyNumberFormat="1" applyFont="1" applyBorder="1" applyAlignment="1">
      <alignment horizontal="right"/>
    </xf>
    <xf numFmtId="2" fontId="5" fillId="0" borderId="12" xfId="0" applyNumberFormat="1" applyFont="1" applyBorder="1" applyAlignment="1">
      <alignment horizontal="right"/>
    </xf>
    <xf numFmtId="2" fontId="5" fillId="0" borderId="5" xfId="0" applyNumberFormat="1" applyFont="1" applyBorder="1" applyAlignment="1">
      <alignment horizontal="right"/>
    </xf>
    <xf numFmtId="0" fontId="11" fillId="0" borderId="0" xfId="0" applyFont="1"/>
    <xf numFmtId="0" fontId="11" fillId="0" borderId="13" xfId="0" applyFont="1" applyBorder="1"/>
    <xf numFmtId="0" fontId="11" fillId="0" borderId="14" xfId="0" applyFont="1" applyBorder="1"/>
    <xf numFmtId="0" fontId="11" fillId="0" borderId="5" xfId="0" applyFont="1" applyBorder="1"/>
    <xf numFmtId="0" fontId="13" fillId="10" borderId="6" xfId="0" applyFont="1" applyFill="1" applyBorder="1" applyAlignment="1">
      <alignment horizontal="center" vertical="top" wrapText="1"/>
    </xf>
    <xf numFmtId="0" fontId="14" fillId="0" borderId="0" xfId="0" applyFont="1" applyAlignment="1">
      <alignment vertical="top"/>
    </xf>
    <xf numFmtId="0" fontId="13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center" wrapText="1"/>
    </xf>
    <xf numFmtId="0" fontId="15" fillId="0" borderId="6" xfId="0" applyFont="1" applyBorder="1" applyAlignment="1">
      <alignment horizontal="left" wrapText="1"/>
    </xf>
    <xf numFmtId="0" fontId="17" fillId="10" borderId="6" xfId="0" applyFont="1" applyFill="1" applyBorder="1" applyAlignment="1">
      <alignment horizontal="center" wrapText="1"/>
    </xf>
    <xf numFmtId="0" fontId="17" fillId="0" borderId="6" xfId="0" applyFont="1" applyBorder="1" applyAlignment="1">
      <alignment horizontal="left" wrapText="1"/>
    </xf>
    <xf numFmtId="0" fontId="18" fillId="0" borderId="6" xfId="0" applyFont="1" applyBorder="1" applyAlignment="1">
      <alignment horizontal="left" wrapText="1"/>
    </xf>
    <xf numFmtId="0" fontId="17" fillId="10" borderId="6" xfId="0" applyFont="1" applyFill="1" applyBorder="1" applyAlignment="1">
      <alignment horizontal="left" vertical="top" wrapText="1"/>
    </xf>
    <xf numFmtId="0" fontId="17" fillId="10" borderId="6" xfId="0" applyFont="1" applyFill="1" applyBorder="1" applyAlignment="1">
      <alignment horizontal="center" vertical="top" wrapText="1"/>
    </xf>
    <xf numFmtId="0" fontId="3" fillId="11" borderId="6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3" borderId="6" xfId="0" applyFont="1" applyFill="1" applyBorder="1" applyAlignment="1">
      <alignment horizontal="center"/>
    </xf>
    <xf numFmtId="9" fontId="3" fillId="0" borderId="6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2" borderId="6" xfId="0" applyFont="1" applyFill="1" applyBorder="1" applyAlignment="1">
      <alignment horizontal="center"/>
    </xf>
    <xf numFmtId="0" fontId="0" fillId="0" borderId="5" xfId="0" applyBorder="1"/>
    <xf numFmtId="0" fontId="2" fillId="2" borderId="6" xfId="0" applyFont="1" applyFill="1" applyBorder="1" applyAlignment="1">
      <alignment horizontal="center" wrapText="1"/>
    </xf>
    <xf numFmtId="0" fontId="1" fillId="6" borderId="0" xfId="0" applyFont="1" applyFill="1" applyAlignment="1">
      <alignment wrapText="1"/>
    </xf>
    <xf numFmtId="0" fontId="0" fillId="0" borderId="0" xfId="0"/>
    <xf numFmtId="0" fontId="1" fillId="6" borderId="7" xfId="0" applyFont="1" applyFill="1" applyBorder="1" applyAlignment="1">
      <alignment horizontal="left" vertical="top" wrapText="1"/>
    </xf>
    <xf numFmtId="0" fontId="0" fillId="0" borderId="7" xfId="0" applyBorder="1"/>
    <xf numFmtId="0" fontId="2" fillId="9" borderId="0" xfId="0" applyFont="1" applyFill="1"/>
    <xf numFmtId="0" fontId="2" fillId="0" borderId="0" xfId="0" applyFont="1" applyAlignment="1">
      <alignment horizontal="left"/>
    </xf>
    <xf numFmtId="0" fontId="4" fillId="8" borderId="0" xfId="0" applyFont="1" applyFill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0" borderId="15" xfId="0" applyFont="1" applyBorder="1"/>
    <xf numFmtId="0" fontId="0" fillId="0" borderId="15" xfId="0" applyBorder="1"/>
    <xf numFmtId="0" fontId="18" fillId="0" borderId="6" xfId="0" applyFont="1" applyBorder="1" applyAlignment="1">
      <alignment horizontal="left" wrapText="1"/>
    </xf>
    <xf numFmtId="0" fontId="18" fillId="0" borderId="6" xfId="0" applyFont="1" applyBorder="1" applyAlignment="1">
      <alignment wrapText="1"/>
    </xf>
    <xf numFmtId="0" fontId="17" fillId="10" borderId="6" xfId="0" applyFont="1" applyFill="1" applyBorder="1" applyAlignment="1">
      <alignment horizontal="center" vertical="top" wrapText="1"/>
    </xf>
    <xf numFmtId="0" fontId="12" fillId="6" borderId="6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6" fillId="6" borderId="6" xfId="0" applyFont="1" applyFill="1" applyBorder="1" applyAlignment="1">
      <alignment horizontal="center" vertical="center"/>
    </xf>
    <xf numFmtId="0" fontId="17" fillId="10" borderId="6" xfId="0" applyFont="1" applyFill="1" applyBorder="1" applyAlignment="1">
      <alignment horizontal="center" wrapText="1"/>
    </xf>
    <xf numFmtId="0" fontId="19" fillId="0" borderId="0" xfId="0" applyFont="1"/>
    <xf numFmtId="0" fontId="20" fillId="14" borderId="0" xfId="0" applyFont="1" applyFill="1" applyAlignment="1">
      <alignment horizontal="center" vertical="center"/>
    </xf>
    <xf numFmtId="0" fontId="19" fillId="0" borderId="0" xfId="0" applyFont="1" applyAlignment="1">
      <alignment wrapText="1"/>
    </xf>
    <xf numFmtId="0" fontId="21" fillId="0" borderId="0" xfId="0" applyFont="1"/>
    <xf numFmtId="0" fontId="21" fillId="0" borderId="0" xfId="0" applyFont="1" applyAlignment="1">
      <alignment wrapText="1"/>
    </xf>
    <xf numFmtId="0" fontId="22" fillId="0" borderId="0" xfId="0" applyFont="1" applyAlignment="1">
      <alignment vertical="center"/>
    </xf>
    <xf numFmtId="171" fontId="2" fillId="0" borderId="7" xfId="0" applyNumberFormat="1" applyFont="1" applyBorder="1" applyAlignment="1">
      <alignment horizontal="right"/>
    </xf>
    <xf numFmtId="171" fontId="2" fillId="0" borderId="0" xfId="0" applyNumberFormat="1" applyFont="1" applyAlignment="1">
      <alignment horizontal="right"/>
    </xf>
    <xf numFmtId="171" fontId="2" fillId="0" borderId="8" xfId="0" applyNumberFormat="1" applyFont="1" applyBorder="1" applyAlignment="1">
      <alignment horizontal="right"/>
    </xf>
    <xf numFmtId="171" fontId="1" fillId="0" borderId="7" xfId="0" applyNumberFormat="1" applyFont="1" applyBorder="1" applyAlignment="1">
      <alignment horizontal="right"/>
    </xf>
    <xf numFmtId="171" fontId="1" fillId="0" borderId="0" xfId="0" applyNumberFormat="1" applyFont="1" applyAlignment="1">
      <alignment horizontal="right"/>
    </xf>
    <xf numFmtId="171" fontId="1" fillId="0" borderId="8" xfId="0" applyNumberFormat="1" applyFont="1" applyBorder="1" applyAlignment="1">
      <alignment horizontal="right"/>
    </xf>
    <xf numFmtId="171" fontId="1" fillId="0" borderId="13" xfId="0" applyNumberFormat="1" applyFont="1" applyBorder="1" applyAlignment="1">
      <alignment horizontal="right"/>
    </xf>
    <xf numFmtId="171" fontId="1" fillId="0" borderId="15" xfId="0" applyNumberFormat="1" applyFont="1" applyBorder="1" applyAlignment="1">
      <alignment horizontal="right"/>
    </xf>
    <xf numFmtId="171" fontId="1" fillId="0" borderId="14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993"/>
  <sheetViews>
    <sheetView tabSelected="1" zoomScale="135" workbookViewId="0">
      <selection activeCell="B6" sqref="B6"/>
    </sheetView>
  </sheetViews>
  <sheetFormatPr baseColWidth="10" defaultColWidth="12.6640625" defaultRowHeight="15.75" customHeight="1" x14ac:dyDescent="0.15"/>
  <cols>
    <col min="1" max="1" width="27.1640625" customWidth="1"/>
    <col min="2" max="2" width="14.1640625" bestFit="1" customWidth="1"/>
    <col min="3" max="3" width="10.83203125" customWidth="1"/>
    <col min="4" max="4" width="10" customWidth="1"/>
    <col min="5" max="5" width="10.5" customWidth="1"/>
    <col min="6" max="15" width="7.1640625" customWidth="1"/>
    <col min="16" max="19" width="43.6640625" customWidth="1"/>
    <col min="22" max="32" width="12.6640625" hidden="1" customWidth="1"/>
  </cols>
  <sheetData>
    <row r="1" spans="1:21" ht="1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6" x14ac:dyDescent="0.2">
      <c r="A2" s="114" t="s">
        <v>1</v>
      </c>
      <c r="B2" s="114" t="s">
        <v>2</v>
      </c>
      <c r="C2" s="114" t="s">
        <v>3</v>
      </c>
      <c r="D2" s="114" t="s">
        <v>4</v>
      </c>
      <c r="E2" s="116" t="s">
        <v>5</v>
      </c>
      <c r="F2" s="114" t="s">
        <v>6</v>
      </c>
      <c r="G2" s="112"/>
      <c r="H2" s="112"/>
      <c r="I2" s="112"/>
      <c r="J2" s="113"/>
      <c r="K2" s="114" t="s">
        <v>7</v>
      </c>
      <c r="L2" s="112"/>
      <c r="M2" s="112"/>
      <c r="N2" s="112"/>
      <c r="O2" s="113"/>
      <c r="P2" s="114" t="s">
        <v>8</v>
      </c>
      <c r="Q2" s="114" t="s">
        <v>9</v>
      </c>
      <c r="R2" s="114" t="s">
        <v>10</v>
      </c>
      <c r="S2" s="114" t="s">
        <v>11</v>
      </c>
      <c r="T2" s="114" t="s">
        <v>12</v>
      </c>
      <c r="U2" s="114" t="s">
        <v>13</v>
      </c>
    </row>
    <row r="3" spans="1:21" ht="16" x14ac:dyDescent="0.2">
      <c r="A3" s="115"/>
      <c r="B3" s="115"/>
      <c r="C3" s="115"/>
      <c r="D3" s="115"/>
      <c r="E3" s="115"/>
      <c r="F3" s="2">
        <v>2026</v>
      </c>
      <c r="G3" s="2">
        <v>2027</v>
      </c>
      <c r="H3" s="2">
        <v>2028</v>
      </c>
      <c r="I3" s="2">
        <v>2029</v>
      </c>
      <c r="J3" s="2">
        <v>2030</v>
      </c>
      <c r="K3" s="2">
        <v>2026</v>
      </c>
      <c r="L3" s="2">
        <v>2027</v>
      </c>
      <c r="M3" s="2">
        <v>2028</v>
      </c>
      <c r="N3" s="2">
        <v>2029</v>
      </c>
      <c r="O3" s="2">
        <v>2030</v>
      </c>
      <c r="P3" s="115"/>
      <c r="Q3" s="115"/>
      <c r="R3" s="115"/>
      <c r="S3" s="115"/>
      <c r="T3" s="115"/>
      <c r="U3" s="115"/>
    </row>
    <row r="4" spans="1:21" ht="75" x14ac:dyDescent="0.2">
      <c r="A4" s="3" t="s">
        <v>14</v>
      </c>
      <c r="B4" s="109" t="s">
        <v>15</v>
      </c>
      <c r="C4" s="109" t="s">
        <v>16</v>
      </c>
      <c r="D4" s="5" t="s">
        <v>17</v>
      </c>
      <c r="E4" s="6">
        <v>1</v>
      </c>
      <c r="F4" s="111">
        <v>0</v>
      </c>
      <c r="G4" s="112"/>
      <c r="H4" s="112"/>
      <c r="I4" s="112"/>
      <c r="J4" s="113"/>
      <c r="K4" s="7">
        <v>1</v>
      </c>
      <c r="L4" s="7">
        <v>1</v>
      </c>
      <c r="M4" s="7">
        <v>1</v>
      </c>
      <c r="N4" s="7">
        <v>1</v>
      </c>
      <c r="O4" s="7">
        <v>1</v>
      </c>
      <c r="P4" s="8" t="s">
        <v>18</v>
      </c>
      <c r="Q4" s="8" t="s">
        <v>171</v>
      </c>
      <c r="R4" s="8" t="s">
        <v>165</v>
      </c>
      <c r="S4" s="8" t="s">
        <v>19</v>
      </c>
      <c r="T4" s="4" t="s">
        <v>20</v>
      </c>
      <c r="U4" s="4" t="s">
        <v>21</v>
      </c>
    </row>
    <row r="5" spans="1:21" ht="90" x14ac:dyDescent="0.2">
      <c r="A5" s="3" t="s">
        <v>22</v>
      </c>
      <c r="B5" s="108" t="s">
        <v>23</v>
      </c>
      <c r="C5" s="108" t="s">
        <v>16</v>
      </c>
      <c r="D5" s="5" t="s">
        <v>24</v>
      </c>
      <c r="E5" s="6">
        <v>0.7</v>
      </c>
      <c r="F5" s="6">
        <v>0.02</v>
      </c>
      <c r="G5" s="6">
        <v>0.02</v>
      </c>
      <c r="H5" s="6">
        <v>0.02</v>
      </c>
      <c r="I5" s="6">
        <v>0.02</v>
      </c>
      <c r="J5" s="6">
        <v>0.02</v>
      </c>
      <c r="K5" s="7">
        <v>1</v>
      </c>
      <c r="L5" s="7">
        <v>1</v>
      </c>
      <c r="M5" s="7">
        <v>1</v>
      </c>
      <c r="N5" s="7">
        <v>1</v>
      </c>
      <c r="O5" s="7">
        <v>1</v>
      </c>
      <c r="P5" s="8" t="s">
        <v>25</v>
      </c>
      <c r="Q5" s="8" t="s">
        <v>172</v>
      </c>
      <c r="R5" s="8" t="s">
        <v>166</v>
      </c>
      <c r="S5" s="8" t="s">
        <v>26</v>
      </c>
      <c r="T5" s="4" t="s">
        <v>20</v>
      </c>
      <c r="U5" s="4" t="s">
        <v>21</v>
      </c>
    </row>
    <row r="6" spans="1:21" ht="75" x14ac:dyDescent="0.2">
      <c r="A6" s="3" t="s">
        <v>27</v>
      </c>
      <c r="B6" s="110" t="s">
        <v>28</v>
      </c>
      <c r="C6" s="110" t="s">
        <v>16</v>
      </c>
      <c r="D6" s="5" t="s">
        <v>24</v>
      </c>
      <c r="E6" s="6">
        <v>0.6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8">
        <v>1</v>
      </c>
      <c r="L6" s="7">
        <v>1</v>
      </c>
      <c r="M6" s="7">
        <v>1</v>
      </c>
      <c r="N6" s="7">
        <v>1</v>
      </c>
      <c r="O6" s="7">
        <v>1</v>
      </c>
      <c r="P6" s="8" t="s">
        <v>29</v>
      </c>
      <c r="Q6" s="8" t="s">
        <v>173</v>
      </c>
      <c r="R6" s="8" t="s">
        <v>30</v>
      </c>
      <c r="S6" s="8" t="s">
        <v>31</v>
      </c>
      <c r="T6" s="10" t="s">
        <v>20</v>
      </c>
      <c r="U6" s="4" t="s">
        <v>21</v>
      </c>
    </row>
    <row r="7" spans="1:21" ht="90" x14ac:dyDescent="0.2">
      <c r="A7" s="3" t="s">
        <v>32</v>
      </c>
      <c r="B7" s="109" t="s">
        <v>33</v>
      </c>
      <c r="C7" s="109" t="s">
        <v>16</v>
      </c>
      <c r="D7" s="5" t="s">
        <v>24</v>
      </c>
      <c r="E7" s="6">
        <v>0.6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8" t="s">
        <v>34</v>
      </c>
      <c r="Q7" s="8" t="s">
        <v>174</v>
      </c>
      <c r="R7" s="8" t="s">
        <v>167</v>
      </c>
      <c r="S7" s="8" t="s">
        <v>35</v>
      </c>
      <c r="T7" s="4" t="s">
        <v>20</v>
      </c>
      <c r="U7" s="4" t="s">
        <v>21</v>
      </c>
    </row>
    <row r="8" spans="1:21" ht="90" x14ac:dyDescent="0.2">
      <c r="A8" s="3" t="s">
        <v>36</v>
      </c>
      <c r="B8" s="9" t="s">
        <v>37</v>
      </c>
      <c r="C8" s="9" t="s">
        <v>38</v>
      </c>
      <c r="D8" s="5" t="s">
        <v>17</v>
      </c>
      <c r="E8" s="6">
        <v>0.7</v>
      </c>
      <c r="F8" s="6">
        <v>0.05</v>
      </c>
      <c r="G8" s="6">
        <v>0.05</v>
      </c>
      <c r="H8" s="6">
        <v>0.05</v>
      </c>
      <c r="I8" s="6">
        <v>0.05</v>
      </c>
      <c r="J8" s="6">
        <v>0.05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8" t="s">
        <v>39</v>
      </c>
      <c r="Q8" s="8" t="s">
        <v>175</v>
      </c>
      <c r="R8" s="8" t="s">
        <v>168</v>
      </c>
      <c r="S8" s="8" t="s">
        <v>40</v>
      </c>
      <c r="T8" s="4" t="s">
        <v>20</v>
      </c>
      <c r="U8" s="4" t="s">
        <v>21</v>
      </c>
    </row>
    <row r="9" spans="1:21" ht="45" x14ac:dyDescent="0.2">
      <c r="A9" s="3" t="s">
        <v>41</v>
      </c>
      <c r="B9" s="110" t="s">
        <v>42</v>
      </c>
      <c r="C9" s="110" t="s">
        <v>16</v>
      </c>
      <c r="D9" s="5" t="s">
        <v>17</v>
      </c>
      <c r="E9" s="6">
        <v>0.8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8" t="s">
        <v>43</v>
      </c>
      <c r="Q9" s="8" t="s">
        <v>44</v>
      </c>
      <c r="R9" s="8" t="s">
        <v>169</v>
      </c>
      <c r="S9" s="8" t="s">
        <v>170</v>
      </c>
      <c r="T9" s="10" t="s">
        <v>20</v>
      </c>
      <c r="U9" s="4" t="s">
        <v>21</v>
      </c>
    </row>
    <row r="10" spans="1:21" ht="13" hidden="1" x14ac:dyDescent="0.15"/>
    <row r="11" spans="1:21" ht="13" hidden="1" x14ac:dyDescent="0.15"/>
    <row r="12" spans="1:21" ht="13" hidden="1" x14ac:dyDescent="0.15"/>
    <row r="13" spans="1:21" ht="13" hidden="1" x14ac:dyDescent="0.15"/>
    <row r="14" spans="1:21" ht="13" hidden="1" x14ac:dyDescent="0.15"/>
    <row r="15" spans="1:21" ht="13" hidden="1" x14ac:dyDescent="0.15"/>
    <row r="16" spans="1:21" ht="13" hidden="1" x14ac:dyDescent="0.15"/>
    <row r="17" ht="13" hidden="1" x14ac:dyDescent="0.15"/>
    <row r="18" ht="13" hidden="1" x14ac:dyDescent="0.15"/>
    <row r="19" ht="13" hidden="1" x14ac:dyDescent="0.15"/>
    <row r="20" ht="13" hidden="1" x14ac:dyDescent="0.15"/>
    <row r="21" ht="13" hidden="1" x14ac:dyDescent="0.15"/>
    <row r="22" ht="13" hidden="1" x14ac:dyDescent="0.15"/>
    <row r="23" ht="13" hidden="1" x14ac:dyDescent="0.15"/>
    <row r="24" ht="13" hidden="1" x14ac:dyDescent="0.15"/>
    <row r="25" ht="13" hidden="1" x14ac:dyDescent="0.15"/>
    <row r="26" ht="13" hidden="1" x14ac:dyDescent="0.15"/>
    <row r="27" ht="13" hidden="1" x14ac:dyDescent="0.15"/>
    <row r="28" ht="13" hidden="1" x14ac:dyDescent="0.15"/>
    <row r="29" ht="13" hidden="1" x14ac:dyDescent="0.15"/>
    <row r="30" ht="13" hidden="1" x14ac:dyDescent="0.15"/>
    <row r="31" ht="13" hidden="1" x14ac:dyDescent="0.15"/>
    <row r="32" ht="13" hidden="1" x14ac:dyDescent="0.15"/>
    <row r="33" ht="13" hidden="1" x14ac:dyDescent="0.15"/>
    <row r="34" ht="13" hidden="1" x14ac:dyDescent="0.15"/>
    <row r="35" ht="13" hidden="1" x14ac:dyDescent="0.15"/>
    <row r="36" ht="13" hidden="1" x14ac:dyDescent="0.15"/>
    <row r="37" ht="13" hidden="1" x14ac:dyDescent="0.15"/>
    <row r="38" ht="13" hidden="1" x14ac:dyDescent="0.15"/>
    <row r="39" ht="13" hidden="1" x14ac:dyDescent="0.15"/>
    <row r="40" ht="13" hidden="1" x14ac:dyDescent="0.15"/>
    <row r="41" ht="13" hidden="1" x14ac:dyDescent="0.15"/>
    <row r="42" ht="13" hidden="1" x14ac:dyDescent="0.15"/>
    <row r="43" ht="13" hidden="1" x14ac:dyDescent="0.15"/>
    <row r="44" ht="13" hidden="1" x14ac:dyDescent="0.15"/>
    <row r="45" ht="13" hidden="1" x14ac:dyDescent="0.15"/>
    <row r="46" ht="13" hidden="1" x14ac:dyDescent="0.15"/>
    <row r="47" ht="13" hidden="1" x14ac:dyDescent="0.15"/>
    <row r="48" ht="13" hidden="1" x14ac:dyDescent="0.15"/>
    <row r="49" ht="13" hidden="1" x14ac:dyDescent="0.15"/>
    <row r="50" ht="13" hidden="1" x14ac:dyDescent="0.15"/>
    <row r="51" ht="13" hidden="1" x14ac:dyDescent="0.15"/>
    <row r="52" ht="13" hidden="1" x14ac:dyDescent="0.15"/>
    <row r="53" ht="13" hidden="1" x14ac:dyDescent="0.15"/>
    <row r="54" ht="13" hidden="1" x14ac:dyDescent="0.15"/>
    <row r="55" ht="13" hidden="1" x14ac:dyDescent="0.15"/>
    <row r="56" ht="13" hidden="1" x14ac:dyDescent="0.15"/>
    <row r="57" ht="13" hidden="1" x14ac:dyDescent="0.15"/>
    <row r="58" ht="13" hidden="1" x14ac:dyDescent="0.15"/>
    <row r="59" ht="13" hidden="1" x14ac:dyDescent="0.15"/>
    <row r="60" ht="13" hidden="1" x14ac:dyDescent="0.15"/>
    <row r="61" ht="13" hidden="1" x14ac:dyDescent="0.15"/>
    <row r="62" ht="13" hidden="1" x14ac:dyDescent="0.15"/>
    <row r="63" ht="13" hidden="1" x14ac:dyDescent="0.15"/>
    <row r="64" ht="13" hidden="1" x14ac:dyDescent="0.15"/>
    <row r="65" ht="13" hidden="1" x14ac:dyDescent="0.15"/>
    <row r="66" ht="13" hidden="1" x14ac:dyDescent="0.15"/>
    <row r="67" ht="13" hidden="1" x14ac:dyDescent="0.15"/>
    <row r="68" ht="13" hidden="1" x14ac:dyDescent="0.15"/>
    <row r="69" ht="13" hidden="1" x14ac:dyDescent="0.15"/>
    <row r="70" ht="13" hidden="1" x14ac:dyDescent="0.15"/>
    <row r="71" ht="13" hidden="1" x14ac:dyDescent="0.15"/>
    <row r="72" ht="13" hidden="1" x14ac:dyDescent="0.15"/>
    <row r="73" ht="13" hidden="1" x14ac:dyDescent="0.15"/>
    <row r="74" ht="13" hidden="1" x14ac:dyDescent="0.15"/>
    <row r="75" ht="13" hidden="1" x14ac:dyDescent="0.15"/>
    <row r="76" ht="13" hidden="1" x14ac:dyDescent="0.15"/>
    <row r="77" ht="13" hidden="1" x14ac:dyDescent="0.15"/>
    <row r="78" ht="13" hidden="1" x14ac:dyDescent="0.15"/>
    <row r="79" ht="13" hidden="1" x14ac:dyDescent="0.15"/>
    <row r="80" ht="13" hidden="1" x14ac:dyDescent="0.15"/>
    <row r="81" ht="13" hidden="1" x14ac:dyDescent="0.15"/>
    <row r="82" ht="13" hidden="1" x14ac:dyDescent="0.15"/>
    <row r="83" ht="13" hidden="1" x14ac:dyDescent="0.15"/>
    <row r="84" ht="13" hidden="1" x14ac:dyDescent="0.15"/>
    <row r="85" ht="13" hidden="1" x14ac:dyDescent="0.15"/>
    <row r="86" ht="13" hidden="1" x14ac:dyDescent="0.15"/>
    <row r="87" ht="13" hidden="1" x14ac:dyDescent="0.15"/>
    <row r="88" ht="13" hidden="1" x14ac:dyDescent="0.15"/>
    <row r="89" ht="13" hidden="1" x14ac:dyDescent="0.15"/>
    <row r="90" ht="13" hidden="1" x14ac:dyDescent="0.15"/>
    <row r="91" ht="13" hidden="1" x14ac:dyDescent="0.15"/>
    <row r="92" ht="13" hidden="1" x14ac:dyDescent="0.15"/>
    <row r="93" ht="13" hidden="1" x14ac:dyDescent="0.15"/>
    <row r="94" ht="13" hidden="1" x14ac:dyDescent="0.15"/>
    <row r="95" ht="13" hidden="1" x14ac:dyDescent="0.15"/>
    <row r="96" ht="13" hidden="1" x14ac:dyDescent="0.15"/>
    <row r="97" ht="13" hidden="1" x14ac:dyDescent="0.15"/>
    <row r="98" ht="13" hidden="1" x14ac:dyDescent="0.15"/>
    <row r="99" ht="13" hidden="1" x14ac:dyDescent="0.15"/>
    <row r="100" ht="13" hidden="1" x14ac:dyDescent="0.15"/>
    <row r="101" ht="13" hidden="1" x14ac:dyDescent="0.15"/>
    <row r="102" ht="13" hidden="1" x14ac:dyDescent="0.15"/>
    <row r="103" ht="13" hidden="1" x14ac:dyDescent="0.15"/>
    <row r="104" ht="13" hidden="1" x14ac:dyDescent="0.15"/>
    <row r="105" ht="13" hidden="1" x14ac:dyDescent="0.15"/>
    <row r="106" ht="13" hidden="1" x14ac:dyDescent="0.15"/>
    <row r="107" ht="13" hidden="1" x14ac:dyDescent="0.15"/>
    <row r="108" ht="13" hidden="1" x14ac:dyDescent="0.15"/>
    <row r="109" ht="13" hidden="1" x14ac:dyDescent="0.15"/>
    <row r="110" ht="13" hidden="1" x14ac:dyDescent="0.15"/>
    <row r="111" ht="13" hidden="1" x14ac:dyDescent="0.15"/>
    <row r="112" ht="13" hidden="1" x14ac:dyDescent="0.15"/>
    <row r="113" ht="13" hidden="1" x14ac:dyDescent="0.15"/>
    <row r="114" ht="13" hidden="1" x14ac:dyDescent="0.15"/>
    <row r="115" ht="13" hidden="1" x14ac:dyDescent="0.15"/>
    <row r="116" ht="13" hidden="1" x14ac:dyDescent="0.15"/>
    <row r="117" ht="13" hidden="1" x14ac:dyDescent="0.15"/>
    <row r="118" ht="13" hidden="1" x14ac:dyDescent="0.15"/>
    <row r="119" ht="13" hidden="1" x14ac:dyDescent="0.15"/>
    <row r="120" ht="13" hidden="1" x14ac:dyDescent="0.15"/>
    <row r="121" ht="13" hidden="1" x14ac:dyDescent="0.15"/>
    <row r="122" ht="13" hidden="1" x14ac:dyDescent="0.15"/>
    <row r="123" ht="13" hidden="1" x14ac:dyDescent="0.15"/>
    <row r="124" ht="13" hidden="1" x14ac:dyDescent="0.15"/>
    <row r="125" ht="13" hidden="1" x14ac:dyDescent="0.15"/>
    <row r="126" ht="13" hidden="1" x14ac:dyDescent="0.15"/>
    <row r="127" ht="13" hidden="1" x14ac:dyDescent="0.15"/>
    <row r="128" ht="13" hidden="1" x14ac:dyDescent="0.15"/>
    <row r="129" ht="13" hidden="1" x14ac:dyDescent="0.15"/>
    <row r="130" ht="13" hidden="1" x14ac:dyDescent="0.15"/>
    <row r="131" ht="13" hidden="1" x14ac:dyDescent="0.15"/>
    <row r="132" ht="13" hidden="1" x14ac:dyDescent="0.15"/>
    <row r="133" ht="13" hidden="1" x14ac:dyDescent="0.15"/>
    <row r="134" ht="13" hidden="1" x14ac:dyDescent="0.15"/>
    <row r="135" ht="13" hidden="1" x14ac:dyDescent="0.15"/>
    <row r="136" ht="13" hidden="1" x14ac:dyDescent="0.15"/>
    <row r="137" ht="13" hidden="1" x14ac:dyDescent="0.15"/>
    <row r="138" ht="13" hidden="1" x14ac:dyDescent="0.15"/>
    <row r="139" ht="13" hidden="1" x14ac:dyDescent="0.15"/>
    <row r="140" ht="13" hidden="1" x14ac:dyDescent="0.15"/>
    <row r="141" ht="13" hidden="1" x14ac:dyDescent="0.15"/>
    <row r="142" ht="13" hidden="1" x14ac:dyDescent="0.15"/>
    <row r="143" ht="13" hidden="1" x14ac:dyDescent="0.15"/>
    <row r="144" ht="13" hidden="1" x14ac:dyDescent="0.15"/>
    <row r="145" ht="13" hidden="1" x14ac:dyDescent="0.15"/>
    <row r="146" ht="13" hidden="1" x14ac:dyDescent="0.15"/>
    <row r="147" ht="13" hidden="1" x14ac:dyDescent="0.15"/>
    <row r="148" ht="13" hidden="1" x14ac:dyDescent="0.15"/>
    <row r="149" ht="13" hidden="1" x14ac:dyDescent="0.15"/>
    <row r="150" ht="13" hidden="1" x14ac:dyDescent="0.15"/>
    <row r="151" ht="13" hidden="1" x14ac:dyDescent="0.15"/>
    <row r="152" ht="13" hidden="1" x14ac:dyDescent="0.15"/>
    <row r="153" ht="13" hidden="1" x14ac:dyDescent="0.15"/>
    <row r="154" ht="13" hidden="1" x14ac:dyDescent="0.15"/>
    <row r="155" ht="13" hidden="1" x14ac:dyDescent="0.15"/>
    <row r="156" ht="13" hidden="1" x14ac:dyDescent="0.15"/>
    <row r="157" ht="13" hidden="1" x14ac:dyDescent="0.15"/>
    <row r="158" ht="13" hidden="1" x14ac:dyDescent="0.15"/>
    <row r="159" ht="13" hidden="1" x14ac:dyDescent="0.15"/>
    <row r="160" ht="13" hidden="1" x14ac:dyDescent="0.15"/>
    <row r="161" ht="13" hidden="1" x14ac:dyDescent="0.15"/>
    <row r="162" ht="13" hidden="1" x14ac:dyDescent="0.15"/>
    <row r="163" ht="13" hidden="1" x14ac:dyDescent="0.15"/>
    <row r="164" ht="13" hidden="1" x14ac:dyDescent="0.15"/>
    <row r="165" ht="13" hidden="1" x14ac:dyDescent="0.15"/>
    <row r="166" ht="13" hidden="1" x14ac:dyDescent="0.15"/>
    <row r="167" ht="13" hidden="1" x14ac:dyDescent="0.15"/>
    <row r="168" ht="13" hidden="1" x14ac:dyDescent="0.15"/>
    <row r="169" ht="13" hidden="1" x14ac:dyDescent="0.15"/>
    <row r="170" ht="13" hidden="1" x14ac:dyDescent="0.15"/>
    <row r="171" ht="13" hidden="1" x14ac:dyDescent="0.15"/>
    <row r="172" ht="13" hidden="1" x14ac:dyDescent="0.15"/>
    <row r="173" ht="13" hidden="1" x14ac:dyDescent="0.15"/>
    <row r="174" ht="13" hidden="1" x14ac:dyDescent="0.15"/>
    <row r="175" ht="13" hidden="1" x14ac:dyDescent="0.15"/>
    <row r="176" ht="13" hidden="1" x14ac:dyDescent="0.15"/>
    <row r="177" ht="13" hidden="1" x14ac:dyDescent="0.15"/>
    <row r="178" ht="13" hidden="1" x14ac:dyDescent="0.15"/>
    <row r="179" ht="13" hidden="1" x14ac:dyDescent="0.15"/>
    <row r="180" ht="13" hidden="1" x14ac:dyDescent="0.15"/>
    <row r="181" ht="13" hidden="1" x14ac:dyDescent="0.15"/>
    <row r="182" ht="13" hidden="1" x14ac:dyDescent="0.15"/>
    <row r="183" ht="13" hidden="1" x14ac:dyDescent="0.15"/>
    <row r="184" ht="13" hidden="1" x14ac:dyDescent="0.15"/>
    <row r="185" ht="13" hidden="1" x14ac:dyDescent="0.15"/>
    <row r="186" ht="13" hidden="1" x14ac:dyDescent="0.15"/>
    <row r="187" ht="13" hidden="1" x14ac:dyDescent="0.15"/>
    <row r="188" ht="13" hidden="1" x14ac:dyDescent="0.15"/>
    <row r="189" ht="13" hidden="1" x14ac:dyDescent="0.15"/>
    <row r="190" ht="13" hidden="1" x14ac:dyDescent="0.15"/>
    <row r="191" ht="13" hidden="1" x14ac:dyDescent="0.15"/>
    <row r="192" ht="13" hidden="1" x14ac:dyDescent="0.15"/>
    <row r="193" ht="13" hidden="1" x14ac:dyDescent="0.15"/>
    <row r="194" ht="13" hidden="1" x14ac:dyDescent="0.15"/>
    <row r="195" ht="13" hidden="1" x14ac:dyDescent="0.15"/>
    <row r="196" ht="13" hidden="1" x14ac:dyDescent="0.15"/>
    <row r="197" ht="13" hidden="1" x14ac:dyDescent="0.15"/>
    <row r="198" ht="13" hidden="1" x14ac:dyDescent="0.15"/>
    <row r="199" ht="13" hidden="1" x14ac:dyDescent="0.15"/>
    <row r="200" ht="13" hidden="1" x14ac:dyDescent="0.15"/>
    <row r="201" ht="13" hidden="1" x14ac:dyDescent="0.15"/>
    <row r="202" ht="13" hidden="1" x14ac:dyDescent="0.15"/>
    <row r="203" ht="13" hidden="1" x14ac:dyDescent="0.15"/>
    <row r="204" ht="13" hidden="1" x14ac:dyDescent="0.15"/>
    <row r="205" ht="13" hidden="1" x14ac:dyDescent="0.15"/>
    <row r="206" ht="13" hidden="1" x14ac:dyDescent="0.15"/>
    <row r="207" ht="13" hidden="1" x14ac:dyDescent="0.15"/>
    <row r="208" ht="13" hidden="1" x14ac:dyDescent="0.15"/>
    <row r="209" ht="13" hidden="1" x14ac:dyDescent="0.15"/>
    <row r="210" ht="13" hidden="1" x14ac:dyDescent="0.15"/>
    <row r="211" ht="13" hidden="1" x14ac:dyDescent="0.15"/>
    <row r="212" ht="13" hidden="1" x14ac:dyDescent="0.15"/>
    <row r="213" ht="13" hidden="1" x14ac:dyDescent="0.15"/>
    <row r="214" ht="13" hidden="1" x14ac:dyDescent="0.15"/>
    <row r="215" ht="13" hidden="1" x14ac:dyDescent="0.15"/>
    <row r="216" ht="13" hidden="1" x14ac:dyDescent="0.15"/>
    <row r="217" ht="13" hidden="1" x14ac:dyDescent="0.15"/>
    <row r="218" ht="13" hidden="1" x14ac:dyDescent="0.15"/>
    <row r="219" ht="13" hidden="1" x14ac:dyDescent="0.15"/>
    <row r="220" ht="13" hidden="1" x14ac:dyDescent="0.15"/>
    <row r="221" ht="13" hidden="1" x14ac:dyDescent="0.15"/>
    <row r="222" ht="13" hidden="1" x14ac:dyDescent="0.15"/>
    <row r="223" ht="13" hidden="1" x14ac:dyDescent="0.15"/>
    <row r="224" ht="13" hidden="1" x14ac:dyDescent="0.15"/>
    <row r="225" ht="13" hidden="1" x14ac:dyDescent="0.15"/>
    <row r="226" ht="13" hidden="1" x14ac:dyDescent="0.15"/>
    <row r="227" ht="13" hidden="1" x14ac:dyDescent="0.15"/>
    <row r="228" ht="13" hidden="1" x14ac:dyDescent="0.15"/>
    <row r="229" ht="13" hidden="1" x14ac:dyDescent="0.15"/>
    <row r="230" ht="13" hidden="1" x14ac:dyDescent="0.15"/>
    <row r="231" ht="13" hidden="1" x14ac:dyDescent="0.15"/>
    <row r="232" ht="13" hidden="1" x14ac:dyDescent="0.15"/>
    <row r="233" ht="13" hidden="1" x14ac:dyDescent="0.15"/>
    <row r="234" ht="13" hidden="1" x14ac:dyDescent="0.15"/>
    <row r="235" ht="13" hidden="1" x14ac:dyDescent="0.15"/>
    <row r="236" ht="13" hidden="1" x14ac:dyDescent="0.15"/>
    <row r="237" ht="13" hidden="1" x14ac:dyDescent="0.15"/>
    <row r="238" ht="13" hidden="1" x14ac:dyDescent="0.15"/>
    <row r="239" ht="13" hidden="1" x14ac:dyDescent="0.15"/>
    <row r="240" ht="13" hidden="1" x14ac:dyDescent="0.15"/>
    <row r="241" ht="13" hidden="1" x14ac:dyDescent="0.15"/>
    <row r="242" ht="13" hidden="1" x14ac:dyDescent="0.15"/>
    <row r="243" ht="13" hidden="1" x14ac:dyDescent="0.15"/>
    <row r="244" ht="13" hidden="1" x14ac:dyDescent="0.15"/>
    <row r="245" ht="13" hidden="1" x14ac:dyDescent="0.15"/>
    <row r="246" ht="13" hidden="1" x14ac:dyDescent="0.15"/>
    <row r="247" ht="13" hidden="1" x14ac:dyDescent="0.15"/>
    <row r="248" ht="13" hidden="1" x14ac:dyDescent="0.15"/>
    <row r="249" ht="13" hidden="1" x14ac:dyDescent="0.15"/>
    <row r="250" ht="13" hidden="1" x14ac:dyDescent="0.15"/>
    <row r="251" ht="13" hidden="1" x14ac:dyDescent="0.15"/>
    <row r="252" ht="13" hidden="1" x14ac:dyDescent="0.15"/>
    <row r="253" ht="13" hidden="1" x14ac:dyDescent="0.15"/>
    <row r="254" ht="13" hidden="1" x14ac:dyDescent="0.15"/>
    <row r="255" ht="13" hidden="1" x14ac:dyDescent="0.15"/>
    <row r="256" ht="13" hidden="1" x14ac:dyDescent="0.15"/>
    <row r="257" ht="13" hidden="1" x14ac:dyDescent="0.15"/>
    <row r="258" ht="13" hidden="1" x14ac:dyDescent="0.15"/>
    <row r="259" ht="13" hidden="1" x14ac:dyDescent="0.15"/>
    <row r="260" ht="13" hidden="1" x14ac:dyDescent="0.15"/>
    <row r="261" ht="13" hidden="1" x14ac:dyDescent="0.15"/>
    <row r="262" ht="13" hidden="1" x14ac:dyDescent="0.15"/>
    <row r="263" ht="13" hidden="1" x14ac:dyDescent="0.15"/>
    <row r="264" ht="13" hidden="1" x14ac:dyDescent="0.15"/>
    <row r="265" ht="13" hidden="1" x14ac:dyDescent="0.15"/>
    <row r="266" ht="13" hidden="1" x14ac:dyDescent="0.15"/>
    <row r="267" ht="13" hidden="1" x14ac:dyDescent="0.15"/>
    <row r="268" ht="13" hidden="1" x14ac:dyDescent="0.15"/>
    <row r="269" ht="13" hidden="1" x14ac:dyDescent="0.15"/>
    <row r="270" ht="13" hidden="1" x14ac:dyDescent="0.15"/>
    <row r="271" ht="13" hidden="1" x14ac:dyDescent="0.15"/>
    <row r="272" ht="13" hidden="1" x14ac:dyDescent="0.15"/>
    <row r="273" ht="13" hidden="1" x14ac:dyDescent="0.15"/>
    <row r="274" ht="13" hidden="1" x14ac:dyDescent="0.15"/>
    <row r="275" ht="13" hidden="1" x14ac:dyDescent="0.15"/>
    <row r="276" ht="13" hidden="1" x14ac:dyDescent="0.15"/>
    <row r="277" ht="13" hidden="1" x14ac:dyDescent="0.15"/>
    <row r="278" ht="13" hidden="1" x14ac:dyDescent="0.15"/>
    <row r="279" ht="13" hidden="1" x14ac:dyDescent="0.15"/>
    <row r="280" ht="13" hidden="1" x14ac:dyDescent="0.15"/>
    <row r="281" ht="13" hidden="1" x14ac:dyDescent="0.15"/>
    <row r="282" ht="13" hidden="1" x14ac:dyDescent="0.15"/>
    <row r="283" ht="13" hidden="1" x14ac:dyDescent="0.15"/>
    <row r="284" ht="13" hidden="1" x14ac:dyDescent="0.15"/>
    <row r="285" ht="13" hidden="1" x14ac:dyDescent="0.15"/>
    <row r="286" ht="13" hidden="1" x14ac:dyDescent="0.15"/>
    <row r="287" ht="13" hidden="1" x14ac:dyDescent="0.15"/>
    <row r="288" ht="13" hidden="1" x14ac:dyDescent="0.15"/>
    <row r="289" ht="13" hidden="1" x14ac:dyDescent="0.15"/>
    <row r="290" ht="13" hidden="1" x14ac:dyDescent="0.15"/>
    <row r="291" ht="13" hidden="1" x14ac:dyDescent="0.15"/>
    <row r="292" ht="13" hidden="1" x14ac:dyDescent="0.15"/>
    <row r="293" ht="13" hidden="1" x14ac:dyDescent="0.15"/>
    <row r="294" ht="13" hidden="1" x14ac:dyDescent="0.15"/>
    <row r="295" ht="13" hidden="1" x14ac:dyDescent="0.15"/>
    <row r="296" ht="13" hidden="1" x14ac:dyDescent="0.15"/>
    <row r="297" ht="13" hidden="1" x14ac:dyDescent="0.15"/>
    <row r="298" ht="13" hidden="1" x14ac:dyDescent="0.15"/>
    <row r="299" ht="13" hidden="1" x14ac:dyDescent="0.15"/>
    <row r="300" ht="13" hidden="1" x14ac:dyDescent="0.15"/>
    <row r="301" ht="13" hidden="1" x14ac:dyDescent="0.15"/>
    <row r="302" ht="13" hidden="1" x14ac:dyDescent="0.15"/>
    <row r="303" ht="13" hidden="1" x14ac:dyDescent="0.15"/>
    <row r="304" ht="13" hidden="1" x14ac:dyDescent="0.15"/>
    <row r="305" ht="13" hidden="1" x14ac:dyDescent="0.15"/>
    <row r="306" ht="13" hidden="1" x14ac:dyDescent="0.15"/>
    <row r="307" ht="13" hidden="1" x14ac:dyDescent="0.15"/>
    <row r="308" ht="13" hidden="1" x14ac:dyDescent="0.15"/>
    <row r="309" ht="13" hidden="1" x14ac:dyDescent="0.15"/>
    <row r="310" ht="13" hidden="1" x14ac:dyDescent="0.15"/>
    <row r="311" ht="13" hidden="1" x14ac:dyDescent="0.15"/>
    <row r="312" ht="13" hidden="1" x14ac:dyDescent="0.15"/>
    <row r="313" ht="13" hidden="1" x14ac:dyDescent="0.15"/>
    <row r="314" ht="13" hidden="1" x14ac:dyDescent="0.15"/>
    <row r="315" ht="13" hidden="1" x14ac:dyDescent="0.15"/>
    <row r="316" ht="13" hidden="1" x14ac:dyDescent="0.15"/>
    <row r="317" ht="13" hidden="1" x14ac:dyDescent="0.15"/>
    <row r="318" ht="13" hidden="1" x14ac:dyDescent="0.15"/>
    <row r="319" ht="13" hidden="1" x14ac:dyDescent="0.15"/>
    <row r="320" ht="13" hidden="1" x14ac:dyDescent="0.15"/>
    <row r="321" ht="13" hidden="1" x14ac:dyDescent="0.15"/>
    <row r="322" ht="13" hidden="1" x14ac:dyDescent="0.15"/>
    <row r="323" ht="13" hidden="1" x14ac:dyDescent="0.15"/>
    <row r="324" ht="13" hidden="1" x14ac:dyDescent="0.15"/>
    <row r="325" ht="13" hidden="1" x14ac:dyDescent="0.15"/>
    <row r="326" ht="13" hidden="1" x14ac:dyDescent="0.15"/>
    <row r="327" ht="13" hidden="1" x14ac:dyDescent="0.15"/>
    <row r="328" ht="13" hidden="1" x14ac:dyDescent="0.15"/>
    <row r="329" ht="13" hidden="1" x14ac:dyDescent="0.15"/>
    <row r="330" ht="13" hidden="1" x14ac:dyDescent="0.15"/>
    <row r="331" ht="13" hidden="1" x14ac:dyDescent="0.15"/>
    <row r="332" ht="13" hidden="1" x14ac:dyDescent="0.15"/>
    <row r="333" ht="13" hidden="1" x14ac:dyDescent="0.15"/>
    <row r="334" ht="13" hidden="1" x14ac:dyDescent="0.15"/>
    <row r="335" ht="13" hidden="1" x14ac:dyDescent="0.15"/>
    <row r="336" ht="13" hidden="1" x14ac:dyDescent="0.15"/>
    <row r="337" ht="13" hidden="1" x14ac:dyDescent="0.15"/>
    <row r="338" ht="13" hidden="1" x14ac:dyDescent="0.15"/>
    <row r="339" ht="13" hidden="1" x14ac:dyDescent="0.15"/>
    <row r="340" ht="13" hidden="1" x14ac:dyDescent="0.15"/>
    <row r="341" ht="13" hidden="1" x14ac:dyDescent="0.15"/>
    <row r="342" ht="13" hidden="1" x14ac:dyDescent="0.15"/>
    <row r="343" ht="13" hidden="1" x14ac:dyDescent="0.15"/>
    <row r="344" ht="13" hidden="1" x14ac:dyDescent="0.15"/>
    <row r="345" ht="13" hidden="1" x14ac:dyDescent="0.15"/>
    <row r="346" ht="13" hidden="1" x14ac:dyDescent="0.15"/>
    <row r="347" ht="13" hidden="1" x14ac:dyDescent="0.15"/>
    <row r="348" ht="13" hidden="1" x14ac:dyDescent="0.15"/>
    <row r="349" ht="13" hidden="1" x14ac:dyDescent="0.15"/>
    <row r="350" ht="13" hidden="1" x14ac:dyDescent="0.15"/>
    <row r="351" ht="13" hidden="1" x14ac:dyDescent="0.15"/>
    <row r="352" ht="13" hidden="1" x14ac:dyDescent="0.15"/>
    <row r="353" ht="13" hidden="1" x14ac:dyDescent="0.15"/>
    <row r="354" ht="13" hidden="1" x14ac:dyDescent="0.15"/>
    <row r="355" ht="13" hidden="1" x14ac:dyDescent="0.15"/>
    <row r="356" ht="13" hidden="1" x14ac:dyDescent="0.15"/>
    <row r="357" ht="13" hidden="1" x14ac:dyDescent="0.15"/>
    <row r="358" ht="13" hidden="1" x14ac:dyDescent="0.15"/>
    <row r="359" ht="13" hidden="1" x14ac:dyDescent="0.15"/>
    <row r="360" ht="13" hidden="1" x14ac:dyDescent="0.15"/>
    <row r="361" ht="13" hidden="1" x14ac:dyDescent="0.15"/>
    <row r="362" ht="13" hidden="1" x14ac:dyDescent="0.15"/>
    <row r="363" ht="13" hidden="1" x14ac:dyDescent="0.15"/>
    <row r="364" ht="13" hidden="1" x14ac:dyDescent="0.15"/>
    <row r="365" ht="13" hidden="1" x14ac:dyDescent="0.15"/>
    <row r="366" ht="13" hidden="1" x14ac:dyDescent="0.15"/>
    <row r="367" ht="13" hidden="1" x14ac:dyDescent="0.15"/>
    <row r="368" ht="13" hidden="1" x14ac:dyDescent="0.15"/>
    <row r="369" ht="13" hidden="1" x14ac:dyDescent="0.15"/>
    <row r="370" ht="13" hidden="1" x14ac:dyDescent="0.15"/>
    <row r="371" ht="13" hidden="1" x14ac:dyDescent="0.15"/>
    <row r="372" ht="13" hidden="1" x14ac:dyDescent="0.15"/>
    <row r="373" ht="13" hidden="1" x14ac:dyDescent="0.15"/>
    <row r="374" ht="13" hidden="1" x14ac:dyDescent="0.15"/>
    <row r="375" ht="13" hidden="1" x14ac:dyDescent="0.15"/>
    <row r="376" ht="13" hidden="1" x14ac:dyDescent="0.15"/>
    <row r="377" ht="13" hidden="1" x14ac:dyDescent="0.15"/>
    <row r="378" ht="13" hidden="1" x14ac:dyDescent="0.15"/>
    <row r="379" ht="13" hidden="1" x14ac:dyDescent="0.15"/>
    <row r="380" ht="13" hidden="1" x14ac:dyDescent="0.15"/>
    <row r="381" ht="13" hidden="1" x14ac:dyDescent="0.15"/>
    <row r="382" ht="13" hidden="1" x14ac:dyDescent="0.15"/>
    <row r="383" ht="13" hidden="1" x14ac:dyDescent="0.15"/>
    <row r="384" ht="13" hidden="1" x14ac:dyDescent="0.15"/>
    <row r="385" ht="13" hidden="1" x14ac:dyDescent="0.15"/>
    <row r="386" ht="13" hidden="1" x14ac:dyDescent="0.15"/>
    <row r="387" ht="13" hidden="1" x14ac:dyDescent="0.15"/>
    <row r="388" ht="13" hidden="1" x14ac:dyDescent="0.15"/>
    <row r="389" ht="13" hidden="1" x14ac:dyDescent="0.15"/>
    <row r="390" ht="13" hidden="1" x14ac:dyDescent="0.15"/>
    <row r="391" ht="13" hidden="1" x14ac:dyDescent="0.15"/>
    <row r="392" ht="13" hidden="1" x14ac:dyDescent="0.15"/>
    <row r="393" ht="13" hidden="1" x14ac:dyDescent="0.15"/>
    <row r="394" ht="13" hidden="1" x14ac:dyDescent="0.15"/>
    <row r="395" ht="13" hidden="1" x14ac:dyDescent="0.15"/>
    <row r="396" ht="13" hidden="1" x14ac:dyDescent="0.15"/>
    <row r="397" ht="13" hidden="1" x14ac:dyDescent="0.15"/>
    <row r="398" ht="13" hidden="1" x14ac:dyDescent="0.15"/>
    <row r="399" ht="13" hidden="1" x14ac:dyDescent="0.15"/>
    <row r="400" ht="13" hidden="1" x14ac:dyDescent="0.15"/>
    <row r="401" ht="13" hidden="1" x14ac:dyDescent="0.15"/>
    <row r="402" ht="13" hidden="1" x14ac:dyDescent="0.15"/>
    <row r="403" ht="13" hidden="1" x14ac:dyDescent="0.15"/>
    <row r="404" ht="13" hidden="1" x14ac:dyDescent="0.15"/>
    <row r="405" ht="13" hidden="1" x14ac:dyDescent="0.15"/>
    <row r="406" ht="13" hidden="1" x14ac:dyDescent="0.15"/>
    <row r="407" ht="13" hidden="1" x14ac:dyDescent="0.15"/>
    <row r="408" ht="13" hidden="1" x14ac:dyDescent="0.15"/>
    <row r="409" ht="13" hidden="1" x14ac:dyDescent="0.15"/>
    <row r="410" ht="13" hidden="1" x14ac:dyDescent="0.15"/>
    <row r="411" ht="13" hidden="1" x14ac:dyDescent="0.15"/>
    <row r="412" ht="13" hidden="1" x14ac:dyDescent="0.15"/>
    <row r="413" ht="13" hidden="1" x14ac:dyDescent="0.15"/>
    <row r="414" ht="13" hidden="1" x14ac:dyDescent="0.15"/>
    <row r="415" ht="13" hidden="1" x14ac:dyDescent="0.15"/>
    <row r="416" ht="13" hidden="1" x14ac:dyDescent="0.15"/>
    <row r="417" ht="13" hidden="1" x14ac:dyDescent="0.15"/>
    <row r="418" ht="13" hidden="1" x14ac:dyDescent="0.15"/>
    <row r="419" ht="13" hidden="1" x14ac:dyDescent="0.15"/>
    <row r="420" ht="13" hidden="1" x14ac:dyDescent="0.15"/>
    <row r="421" ht="13" hidden="1" x14ac:dyDescent="0.15"/>
    <row r="422" ht="13" hidden="1" x14ac:dyDescent="0.15"/>
    <row r="423" ht="13" hidden="1" x14ac:dyDescent="0.15"/>
    <row r="424" ht="13" hidden="1" x14ac:dyDescent="0.15"/>
    <row r="425" ht="13" hidden="1" x14ac:dyDescent="0.15"/>
    <row r="426" ht="13" hidden="1" x14ac:dyDescent="0.15"/>
    <row r="427" ht="13" hidden="1" x14ac:dyDescent="0.15"/>
    <row r="428" ht="13" hidden="1" x14ac:dyDescent="0.15"/>
    <row r="429" ht="13" hidden="1" x14ac:dyDescent="0.15"/>
    <row r="430" ht="13" hidden="1" x14ac:dyDescent="0.15"/>
    <row r="431" ht="13" hidden="1" x14ac:dyDescent="0.15"/>
    <row r="432" ht="13" hidden="1" x14ac:dyDescent="0.15"/>
    <row r="433" ht="13" hidden="1" x14ac:dyDescent="0.15"/>
    <row r="434" ht="13" hidden="1" x14ac:dyDescent="0.15"/>
    <row r="435" ht="13" hidden="1" x14ac:dyDescent="0.15"/>
    <row r="436" ht="13" hidden="1" x14ac:dyDescent="0.15"/>
    <row r="437" ht="13" hidden="1" x14ac:dyDescent="0.15"/>
    <row r="438" ht="13" hidden="1" x14ac:dyDescent="0.15"/>
    <row r="439" ht="13" hidden="1" x14ac:dyDescent="0.15"/>
    <row r="440" ht="13" hidden="1" x14ac:dyDescent="0.15"/>
    <row r="441" ht="13" hidden="1" x14ac:dyDescent="0.15"/>
    <row r="442" ht="13" hidden="1" x14ac:dyDescent="0.15"/>
    <row r="443" ht="13" hidden="1" x14ac:dyDescent="0.15"/>
    <row r="444" ht="13" hidden="1" x14ac:dyDescent="0.15"/>
    <row r="445" ht="13" hidden="1" x14ac:dyDescent="0.15"/>
    <row r="446" ht="13" hidden="1" x14ac:dyDescent="0.15"/>
    <row r="447" ht="13" hidden="1" x14ac:dyDescent="0.15"/>
    <row r="448" ht="13" hidden="1" x14ac:dyDescent="0.15"/>
    <row r="449" ht="13" hidden="1" x14ac:dyDescent="0.15"/>
    <row r="450" ht="13" hidden="1" x14ac:dyDescent="0.15"/>
    <row r="451" ht="13" hidden="1" x14ac:dyDescent="0.15"/>
    <row r="452" ht="13" hidden="1" x14ac:dyDescent="0.15"/>
    <row r="453" ht="13" hidden="1" x14ac:dyDescent="0.15"/>
    <row r="454" ht="13" hidden="1" x14ac:dyDescent="0.15"/>
    <row r="455" ht="13" hidden="1" x14ac:dyDescent="0.15"/>
    <row r="456" ht="13" hidden="1" x14ac:dyDescent="0.15"/>
    <row r="457" ht="13" hidden="1" x14ac:dyDescent="0.15"/>
    <row r="458" ht="13" hidden="1" x14ac:dyDescent="0.15"/>
    <row r="459" ht="13" hidden="1" x14ac:dyDescent="0.15"/>
    <row r="460" ht="13" hidden="1" x14ac:dyDescent="0.15"/>
    <row r="461" ht="13" hidden="1" x14ac:dyDescent="0.15"/>
    <row r="462" ht="13" hidden="1" x14ac:dyDescent="0.15"/>
    <row r="463" ht="13" hidden="1" x14ac:dyDescent="0.15"/>
    <row r="464" ht="13" hidden="1" x14ac:dyDescent="0.15"/>
    <row r="465" ht="13" hidden="1" x14ac:dyDescent="0.15"/>
    <row r="466" ht="13" hidden="1" x14ac:dyDescent="0.15"/>
    <row r="467" ht="13" hidden="1" x14ac:dyDescent="0.15"/>
    <row r="468" ht="13" hidden="1" x14ac:dyDescent="0.15"/>
    <row r="469" ht="13" hidden="1" x14ac:dyDescent="0.15"/>
    <row r="470" ht="13" hidden="1" x14ac:dyDescent="0.15"/>
    <row r="471" ht="13" hidden="1" x14ac:dyDescent="0.15"/>
    <row r="472" ht="13" hidden="1" x14ac:dyDescent="0.15"/>
    <row r="473" ht="13" hidden="1" x14ac:dyDescent="0.15"/>
    <row r="474" ht="13" hidden="1" x14ac:dyDescent="0.15"/>
    <row r="475" ht="13" hidden="1" x14ac:dyDescent="0.15"/>
    <row r="476" ht="13" hidden="1" x14ac:dyDescent="0.15"/>
    <row r="477" ht="13" hidden="1" x14ac:dyDescent="0.15"/>
    <row r="478" ht="13" hidden="1" x14ac:dyDescent="0.15"/>
    <row r="479" ht="13" hidden="1" x14ac:dyDescent="0.15"/>
    <row r="480" ht="13" hidden="1" x14ac:dyDescent="0.15"/>
    <row r="481" ht="13" hidden="1" x14ac:dyDescent="0.15"/>
    <row r="482" ht="13" hidden="1" x14ac:dyDescent="0.15"/>
    <row r="483" ht="13" hidden="1" x14ac:dyDescent="0.15"/>
    <row r="484" ht="13" hidden="1" x14ac:dyDescent="0.15"/>
    <row r="485" ht="13" hidden="1" x14ac:dyDescent="0.15"/>
    <row r="486" ht="13" hidden="1" x14ac:dyDescent="0.15"/>
    <row r="487" ht="13" hidden="1" x14ac:dyDescent="0.15"/>
    <row r="488" ht="13" hidden="1" x14ac:dyDescent="0.15"/>
    <row r="489" ht="13" hidden="1" x14ac:dyDescent="0.15"/>
    <row r="490" ht="13" hidden="1" x14ac:dyDescent="0.15"/>
    <row r="491" ht="13" hidden="1" x14ac:dyDescent="0.15"/>
    <row r="492" ht="13" hidden="1" x14ac:dyDescent="0.15"/>
    <row r="493" ht="13" hidden="1" x14ac:dyDescent="0.15"/>
    <row r="494" ht="13" hidden="1" x14ac:dyDescent="0.15"/>
    <row r="495" ht="13" hidden="1" x14ac:dyDescent="0.15"/>
    <row r="496" ht="13" hidden="1" x14ac:dyDescent="0.15"/>
    <row r="497" ht="13" hidden="1" x14ac:dyDescent="0.15"/>
    <row r="498" ht="13" hidden="1" x14ac:dyDescent="0.15"/>
    <row r="499" ht="13" hidden="1" x14ac:dyDescent="0.15"/>
    <row r="500" ht="13" hidden="1" x14ac:dyDescent="0.15"/>
    <row r="501" ht="13" hidden="1" x14ac:dyDescent="0.15"/>
    <row r="502" ht="13" hidden="1" x14ac:dyDescent="0.15"/>
    <row r="503" ht="13" hidden="1" x14ac:dyDescent="0.15"/>
    <row r="504" ht="13" hidden="1" x14ac:dyDescent="0.15"/>
    <row r="505" ht="13" hidden="1" x14ac:dyDescent="0.15"/>
    <row r="506" ht="13" hidden="1" x14ac:dyDescent="0.15"/>
    <row r="507" ht="13" hidden="1" x14ac:dyDescent="0.15"/>
    <row r="508" ht="13" hidden="1" x14ac:dyDescent="0.15"/>
    <row r="509" ht="13" hidden="1" x14ac:dyDescent="0.15"/>
    <row r="510" ht="13" hidden="1" x14ac:dyDescent="0.15"/>
    <row r="511" ht="13" hidden="1" x14ac:dyDescent="0.15"/>
    <row r="512" ht="13" hidden="1" x14ac:dyDescent="0.15"/>
    <row r="513" ht="13" hidden="1" x14ac:dyDescent="0.15"/>
    <row r="514" ht="13" hidden="1" x14ac:dyDescent="0.15"/>
    <row r="515" ht="13" hidden="1" x14ac:dyDescent="0.15"/>
    <row r="516" ht="13" hidden="1" x14ac:dyDescent="0.15"/>
    <row r="517" ht="13" hidden="1" x14ac:dyDescent="0.15"/>
    <row r="518" ht="13" hidden="1" x14ac:dyDescent="0.15"/>
    <row r="519" ht="13" hidden="1" x14ac:dyDescent="0.15"/>
    <row r="520" ht="13" hidden="1" x14ac:dyDescent="0.15"/>
    <row r="521" ht="13" hidden="1" x14ac:dyDescent="0.15"/>
    <row r="522" ht="13" hidden="1" x14ac:dyDescent="0.15"/>
    <row r="523" ht="13" hidden="1" x14ac:dyDescent="0.15"/>
    <row r="524" ht="13" hidden="1" x14ac:dyDescent="0.15"/>
    <row r="525" ht="13" hidden="1" x14ac:dyDescent="0.15"/>
    <row r="526" ht="13" hidden="1" x14ac:dyDescent="0.15"/>
    <row r="527" ht="13" hidden="1" x14ac:dyDescent="0.15"/>
    <row r="528" ht="13" hidden="1" x14ac:dyDescent="0.15"/>
    <row r="529" ht="13" hidden="1" x14ac:dyDescent="0.15"/>
    <row r="530" ht="13" hidden="1" x14ac:dyDescent="0.15"/>
    <row r="531" ht="13" hidden="1" x14ac:dyDescent="0.15"/>
    <row r="532" ht="13" hidden="1" x14ac:dyDescent="0.15"/>
    <row r="533" ht="13" hidden="1" x14ac:dyDescent="0.15"/>
    <row r="534" ht="13" hidden="1" x14ac:dyDescent="0.15"/>
    <row r="535" ht="13" hidden="1" x14ac:dyDescent="0.15"/>
    <row r="536" ht="13" hidden="1" x14ac:dyDescent="0.15"/>
    <row r="537" ht="13" hidden="1" x14ac:dyDescent="0.15"/>
    <row r="538" ht="13" hidden="1" x14ac:dyDescent="0.15"/>
    <row r="539" ht="13" hidden="1" x14ac:dyDescent="0.15"/>
    <row r="540" ht="13" hidden="1" x14ac:dyDescent="0.15"/>
    <row r="541" ht="13" hidden="1" x14ac:dyDescent="0.15"/>
    <row r="542" ht="13" hidden="1" x14ac:dyDescent="0.15"/>
    <row r="543" ht="13" hidden="1" x14ac:dyDescent="0.15"/>
    <row r="544" ht="13" hidden="1" x14ac:dyDescent="0.15"/>
    <row r="545" ht="13" hidden="1" x14ac:dyDescent="0.15"/>
    <row r="546" ht="13" hidden="1" x14ac:dyDescent="0.15"/>
    <row r="547" ht="13" hidden="1" x14ac:dyDescent="0.15"/>
    <row r="548" ht="13" hidden="1" x14ac:dyDescent="0.15"/>
    <row r="549" ht="13" hidden="1" x14ac:dyDescent="0.15"/>
    <row r="550" ht="13" hidden="1" x14ac:dyDescent="0.15"/>
    <row r="551" ht="13" hidden="1" x14ac:dyDescent="0.15"/>
    <row r="552" ht="13" hidden="1" x14ac:dyDescent="0.15"/>
    <row r="553" ht="13" hidden="1" x14ac:dyDescent="0.15"/>
    <row r="554" ht="13" hidden="1" x14ac:dyDescent="0.15"/>
    <row r="555" ht="13" hidden="1" x14ac:dyDescent="0.15"/>
    <row r="556" ht="13" hidden="1" x14ac:dyDescent="0.15"/>
    <row r="557" ht="13" hidden="1" x14ac:dyDescent="0.15"/>
    <row r="558" ht="13" hidden="1" x14ac:dyDescent="0.15"/>
    <row r="559" ht="13" hidden="1" x14ac:dyDescent="0.15"/>
    <row r="560" ht="13" hidden="1" x14ac:dyDescent="0.15"/>
    <row r="561" ht="13" hidden="1" x14ac:dyDescent="0.15"/>
    <row r="562" ht="13" hidden="1" x14ac:dyDescent="0.15"/>
    <row r="563" ht="13" hidden="1" x14ac:dyDescent="0.15"/>
    <row r="564" ht="13" hidden="1" x14ac:dyDescent="0.15"/>
    <row r="565" ht="13" hidden="1" x14ac:dyDescent="0.15"/>
    <row r="566" ht="13" hidden="1" x14ac:dyDescent="0.15"/>
    <row r="567" ht="13" hidden="1" x14ac:dyDescent="0.15"/>
    <row r="568" ht="13" hidden="1" x14ac:dyDescent="0.15"/>
    <row r="569" ht="13" hidden="1" x14ac:dyDescent="0.15"/>
    <row r="570" ht="13" hidden="1" x14ac:dyDescent="0.15"/>
    <row r="571" ht="13" hidden="1" x14ac:dyDescent="0.15"/>
    <row r="572" ht="13" hidden="1" x14ac:dyDescent="0.15"/>
    <row r="573" ht="13" hidden="1" x14ac:dyDescent="0.15"/>
    <row r="574" ht="13" hidden="1" x14ac:dyDescent="0.15"/>
    <row r="575" ht="13" hidden="1" x14ac:dyDescent="0.15"/>
    <row r="576" ht="13" hidden="1" x14ac:dyDescent="0.15"/>
    <row r="577" ht="13" hidden="1" x14ac:dyDescent="0.15"/>
    <row r="578" ht="13" hidden="1" x14ac:dyDescent="0.15"/>
    <row r="579" ht="13" hidden="1" x14ac:dyDescent="0.15"/>
    <row r="580" ht="13" hidden="1" x14ac:dyDescent="0.15"/>
    <row r="581" ht="13" hidden="1" x14ac:dyDescent="0.15"/>
    <row r="582" ht="13" hidden="1" x14ac:dyDescent="0.15"/>
    <row r="583" ht="13" hidden="1" x14ac:dyDescent="0.15"/>
    <row r="584" ht="13" hidden="1" x14ac:dyDescent="0.15"/>
    <row r="585" ht="13" hidden="1" x14ac:dyDescent="0.15"/>
    <row r="586" ht="13" hidden="1" x14ac:dyDescent="0.15"/>
    <row r="587" ht="13" hidden="1" x14ac:dyDescent="0.15"/>
    <row r="588" ht="13" hidden="1" x14ac:dyDescent="0.15"/>
    <row r="589" ht="13" hidden="1" x14ac:dyDescent="0.15"/>
    <row r="590" ht="13" hidden="1" x14ac:dyDescent="0.15"/>
    <row r="591" ht="13" hidden="1" x14ac:dyDescent="0.15"/>
    <row r="592" ht="13" hidden="1" x14ac:dyDescent="0.15"/>
    <row r="593" ht="13" hidden="1" x14ac:dyDescent="0.15"/>
    <row r="594" ht="13" hidden="1" x14ac:dyDescent="0.15"/>
    <row r="595" ht="13" hidden="1" x14ac:dyDescent="0.15"/>
    <row r="596" ht="13" hidden="1" x14ac:dyDescent="0.15"/>
    <row r="597" ht="13" hidden="1" x14ac:dyDescent="0.15"/>
    <row r="598" ht="13" hidden="1" x14ac:dyDescent="0.15"/>
    <row r="599" ht="13" hidden="1" x14ac:dyDescent="0.15"/>
    <row r="600" ht="13" hidden="1" x14ac:dyDescent="0.15"/>
    <row r="601" ht="13" hidden="1" x14ac:dyDescent="0.15"/>
    <row r="602" ht="13" hidden="1" x14ac:dyDescent="0.15"/>
    <row r="603" ht="13" hidden="1" x14ac:dyDescent="0.15"/>
    <row r="604" ht="13" hidden="1" x14ac:dyDescent="0.15"/>
    <row r="605" ht="13" hidden="1" x14ac:dyDescent="0.15"/>
    <row r="606" ht="13" hidden="1" x14ac:dyDescent="0.15"/>
    <row r="607" ht="13" hidden="1" x14ac:dyDescent="0.15"/>
    <row r="608" ht="13" hidden="1" x14ac:dyDescent="0.15"/>
    <row r="609" ht="13" hidden="1" x14ac:dyDescent="0.15"/>
    <row r="610" ht="13" hidden="1" x14ac:dyDescent="0.15"/>
    <row r="611" ht="13" hidden="1" x14ac:dyDescent="0.15"/>
    <row r="612" ht="13" hidden="1" x14ac:dyDescent="0.15"/>
    <row r="613" ht="13" hidden="1" x14ac:dyDescent="0.15"/>
    <row r="614" ht="13" hidden="1" x14ac:dyDescent="0.15"/>
    <row r="615" ht="13" hidden="1" x14ac:dyDescent="0.15"/>
    <row r="616" ht="13" hidden="1" x14ac:dyDescent="0.15"/>
    <row r="617" ht="13" hidden="1" x14ac:dyDescent="0.15"/>
    <row r="618" ht="13" hidden="1" x14ac:dyDescent="0.15"/>
    <row r="619" ht="13" hidden="1" x14ac:dyDescent="0.15"/>
    <row r="620" ht="13" hidden="1" x14ac:dyDescent="0.15"/>
    <row r="621" ht="13" hidden="1" x14ac:dyDescent="0.15"/>
    <row r="622" ht="13" hidden="1" x14ac:dyDescent="0.15"/>
    <row r="623" ht="13" hidden="1" x14ac:dyDescent="0.15"/>
    <row r="624" ht="13" hidden="1" x14ac:dyDescent="0.15"/>
    <row r="625" ht="13" hidden="1" x14ac:dyDescent="0.15"/>
    <row r="626" ht="13" hidden="1" x14ac:dyDescent="0.15"/>
    <row r="627" ht="13" hidden="1" x14ac:dyDescent="0.15"/>
    <row r="628" ht="13" hidden="1" x14ac:dyDescent="0.15"/>
    <row r="629" ht="13" hidden="1" x14ac:dyDescent="0.15"/>
    <row r="630" ht="13" hidden="1" x14ac:dyDescent="0.15"/>
    <row r="631" ht="13" hidden="1" x14ac:dyDescent="0.15"/>
    <row r="632" ht="13" hidden="1" x14ac:dyDescent="0.15"/>
    <row r="633" ht="13" hidden="1" x14ac:dyDescent="0.15"/>
    <row r="634" ht="13" hidden="1" x14ac:dyDescent="0.15"/>
    <row r="635" ht="13" hidden="1" x14ac:dyDescent="0.15"/>
    <row r="636" ht="13" hidden="1" x14ac:dyDescent="0.15"/>
    <row r="637" ht="13" hidden="1" x14ac:dyDescent="0.15"/>
    <row r="638" ht="13" hidden="1" x14ac:dyDescent="0.15"/>
    <row r="639" ht="13" hidden="1" x14ac:dyDescent="0.15"/>
    <row r="640" ht="13" hidden="1" x14ac:dyDescent="0.15"/>
    <row r="641" ht="13" hidden="1" x14ac:dyDescent="0.15"/>
    <row r="642" ht="13" hidden="1" x14ac:dyDescent="0.15"/>
    <row r="643" ht="13" hidden="1" x14ac:dyDescent="0.15"/>
    <row r="644" ht="13" hidden="1" x14ac:dyDescent="0.15"/>
    <row r="645" ht="13" hidden="1" x14ac:dyDescent="0.15"/>
    <row r="646" ht="13" hidden="1" x14ac:dyDescent="0.15"/>
    <row r="647" ht="13" hidden="1" x14ac:dyDescent="0.15"/>
    <row r="648" ht="13" hidden="1" x14ac:dyDescent="0.15"/>
    <row r="649" ht="13" hidden="1" x14ac:dyDescent="0.15"/>
    <row r="650" ht="13" hidden="1" x14ac:dyDescent="0.15"/>
    <row r="651" ht="13" hidden="1" x14ac:dyDescent="0.15"/>
    <row r="652" ht="13" hidden="1" x14ac:dyDescent="0.15"/>
    <row r="653" ht="13" hidden="1" x14ac:dyDescent="0.15"/>
    <row r="654" ht="13" hidden="1" x14ac:dyDescent="0.15"/>
    <row r="655" ht="13" hidden="1" x14ac:dyDescent="0.15"/>
    <row r="656" ht="13" hidden="1" x14ac:dyDescent="0.15"/>
    <row r="657" ht="13" hidden="1" x14ac:dyDescent="0.15"/>
    <row r="658" ht="13" hidden="1" x14ac:dyDescent="0.15"/>
    <row r="659" ht="13" hidden="1" x14ac:dyDescent="0.15"/>
    <row r="660" ht="13" hidden="1" x14ac:dyDescent="0.15"/>
    <row r="661" ht="13" hidden="1" x14ac:dyDescent="0.15"/>
    <row r="662" ht="13" hidden="1" x14ac:dyDescent="0.15"/>
    <row r="663" ht="13" hidden="1" x14ac:dyDescent="0.15"/>
    <row r="664" ht="13" hidden="1" x14ac:dyDescent="0.15"/>
    <row r="665" ht="13" hidden="1" x14ac:dyDescent="0.15"/>
    <row r="666" ht="13" hidden="1" x14ac:dyDescent="0.15"/>
    <row r="667" ht="13" hidden="1" x14ac:dyDescent="0.15"/>
    <row r="668" ht="13" hidden="1" x14ac:dyDescent="0.15"/>
    <row r="669" ht="13" hidden="1" x14ac:dyDescent="0.15"/>
    <row r="670" ht="13" hidden="1" x14ac:dyDescent="0.15"/>
    <row r="671" ht="13" hidden="1" x14ac:dyDescent="0.15"/>
    <row r="672" ht="13" hidden="1" x14ac:dyDescent="0.15"/>
    <row r="673" ht="13" hidden="1" x14ac:dyDescent="0.15"/>
    <row r="674" ht="13" hidden="1" x14ac:dyDescent="0.15"/>
    <row r="675" ht="13" hidden="1" x14ac:dyDescent="0.15"/>
    <row r="676" ht="13" hidden="1" x14ac:dyDescent="0.15"/>
    <row r="677" ht="13" hidden="1" x14ac:dyDescent="0.15"/>
    <row r="678" ht="13" hidden="1" x14ac:dyDescent="0.15"/>
    <row r="679" ht="13" hidden="1" x14ac:dyDescent="0.15"/>
    <row r="680" ht="13" hidden="1" x14ac:dyDescent="0.15"/>
    <row r="681" ht="13" hidden="1" x14ac:dyDescent="0.15"/>
    <row r="682" ht="13" hidden="1" x14ac:dyDescent="0.15"/>
    <row r="683" ht="13" hidden="1" x14ac:dyDescent="0.15"/>
    <row r="684" ht="13" hidden="1" x14ac:dyDescent="0.15"/>
    <row r="685" ht="13" hidden="1" x14ac:dyDescent="0.15"/>
    <row r="686" ht="13" hidden="1" x14ac:dyDescent="0.15"/>
    <row r="687" ht="13" hidden="1" x14ac:dyDescent="0.15"/>
    <row r="688" ht="13" hidden="1" x14ac:dyDescent="0.15"/>
    <row r="689" ht="13" hidden="1" x14ac:dyDescent="0.15"/>
    <row r="690" ht="13" hidden="1" x14ac:dyDescent="0.15"/>
    <row r="691" ht="13" hidden="1" x14ac:dyDescent="0.15"/>
    <row r="692" ht="13" hidden="1" x14ac:dyDescent="0.15"/>
    <row r="693" ht="13" hidden="1" x14ac:dyDescent="0.15"/>
    <row r="694" ht="13" hidden="1" x14ac:dyDescent="0.15"/>
    <row r="695" ht="13" hidden="1" x14ac:dyDescent="0.15"/>
    <row r="696" ht="13" hidden="1" x14ac:dyDescent="0.15"/>
    <row r="697" ht="13" hidden="1" x14ac:dyDescent="0.15"/>
    <row r="698" ht="13" hidden="1" x14ac:dyDescent="0.15"/>
    <row r="699" ht="13" hidden="1" x14ac:dyDescent="0.15"/>
    <row r="700" ht="13" hidden="1" x14ac:dyDescent="0.15"/>
    <row r="701" ht="13" hidden="1" x14ac:dyDescent="0.15"/>
    <row r="702" ht="13" hidden="1" x14ac:dyDescent="0.15"/>
    <row r="703" ht="13" hidden="1" x14ac:dyDescent="0.15"/>
    <row r="704" ht="13" hidden="1" x14ac:dyDescent="0.15"/>
    <row r="705" ht="13" hidden="1" x14ac:dyDescent="0.15"/>
    <row r="706" ht="13" hidden="1" x14ac:dyDescent="0.15"/>
    <row r="707" ht="13" hidden="1" x14ac:dyDescent="0.15"/>
    <row r="708" ht="13" hidden="1" x14ac:dyDescent="0.15"/>
    <row r="709" ht="13" hidden="1" x14ac:dyDescent="0.15"/>
    <row r="710" ht="13" hidden="1" x14ac:dyDescent="0.15"/>
    <row r="711" ht="13" hidden="1" x14ac:dyDescent="0.15"/>
    <row r="712" ht="13" hidden="1" x14ac:dyDescent="0.15"/>
    <row r="713" ht="13" hidden="1" x14ac:dyDescent="0.15"/>
    <row r="714" ht="13" hidden="1" x14ac:dyDescent="0.15"/>
    <row r="715" ht="13" hidden="1" x14ac:dyDescent="0.15"/>
    <row r="716" ht="13" hidden="1" x14ac:dyDescent="0.15"/>
    <row r="717" ht="13" hidden="1" x14ac:dyDescent="0.15"/>
    <row r="718" ht="13" hidden="1" x14ac:dyDescent="0.15"/>
    <row r="719" ht="13" hidden="1" x14ac:dyDescent="0.15"/>
    <row r="720" ht="13" hidden="1" x14ac:dyDescent="0.15"/>
    <row r="721" ht="13" hidden="1" x14ac:dyDescent="0.15"/>
    <row r="722" ht="13" hidden="1" x14ac:dyDescent="0.15"/>
    <row r="723" ht="13" hidden="1" x14ac:dyDescent="0.15"/>
    <row r="724" ht="13" hidden="1" x14ac:dyDescent="0.15"/>
    <row r="725" ht="13" hidden="1" x14ac:dyDescent="0.15"/>
    <row r="726" ht="13" hidden="1" x14ac:dyDescent="0.15"/>
    <row r="727" ht="13" hidden="1" x14ac:dyDescent="0.15"/>
    <row r="728" ht="13" hidden="1" x14ac:dyDescent="0.15"/>
    <row r="729" ht="13" hidden="1" x14ac:dyDescent="0.15"/>
    <row r="730" ht="13" hidden="1" x14ac:dyDescent="0.15"/>
    <row r="731" ht="13" hidden="1" x14ac:dyDescent="0.15"/>
    <row r="732" ht="13" hidden="1" x14ac:dyDescent="0.15"/>
    <row r="733" ht="13" hidden="1" x14ac:dyDescent="0.15"/>
    <row r="734" ht="13" hidden="1" x14ac:dyDescent="0.15"/>
    <row r="735" ht="13" hidden="1" x14ac:dyDescent="0.15"/>
    <row r="736" ht="13" hidden="1" x14ac:dyDescent="0.15"/>
    <row r="737" ht="13" hidden="1" x14ac:dyDescent="0.15"/>
    <row r="738" ht="13" hidden="1" x14ac:dyDescent="0.15"/>
    <row r="739" ht="13" hidden="1" x14ac:dyDescent="0.15"/>
    <row r="740" ht="13" hidden="1" x14ac:dyDescent="0.15"/>
    <row r="741" ht="13" hidden="1" x14ac:dyDescent="0.15"/>
    <row r="742" ht="13" hidden="1" x14ac:dyDescent="0.15"/>
    <row r="743" ht="13" hidden="1" x14ac:dyDescent="0.15"/>
    <row r="744" ht="13" hidden="1" x14ac:dyDescent="0.15"/>
    <row r="745" ht="13" hidden="1" x14ac:dyDescent="0.15"/>
    <row r="746" ht="13" hidden="1" x14ac:dyDescent="0.15"/>
    <row r="747" ht="13" hidden="1" x14ac:dyDescent="0.15"/>
    <row r="748" ht="13" hidden="1" x14ac:dyDescent="0.15"/>
    <row r="749" ht="13" hidden="1" x14ac:dyDescent="0.15"/>
    <row r="750" ht="13" hidden="1" x14ac:dyDescent="0.15"/>
    <row r="751" ht="13" hidden="1" x14ac:dyDescent="0.15"/>
    <row r="752" ht="13" hidden="1" x14ac:dyDescent="0.15"/>
    <row r="753" ht="13" hidden="1" x14ac:dyDescent="0.15"/>
    <row r="754" ht="13" hidden="1" x14ac:dyDescent="0.15"/>
    <row r="755" ht="13" hidden="1" x14ac:dyDescent="0.15"/>
    <row r="756" ht="13" hidden="1" x14ac:dyDescent="0.15"/>
    <row r="757" ht="13" hidden="1" x14ac:dyDescent="0.15"/>
    <row r="758" ht="13" hidden="1" x14ac:dyDescent="0.15"/>
    <row r="759" ht="13" hidden="1" x14ac:dyDescent="0.15"/>
    <row r="760" ht="13" hidden="1" x14ac:dyDescent="0.15"/>
    <row r="761" ht="13" hidden="1" x14ac:dyDescent="0.15"/>
    <row r="762" ht="13" hidden="1" x14ac:dyDescent="0.15"/>
    <row r="763" ht="13" hidden="1" x14ac:dyDescent="0.15"/>
    <row r="764" ht="13" hidden="1" x14ac:dyDescent="0.15"/>
    <row r="765" ht="13" hidden="1" x14ac:dyDescent="0.15"/>
    <row r="766" ht="13" hidden="1" x14ac:dyDescent="0.15"/>
    <row r="767" ht="13" hidden="1" x14ac:dyDescent="0.15"/>
    <row r="768" ht="13" hidden="1" x14ac:dyDescent="0.15"/>
    <row r="769" ht="13" hidden="1" x14ac:dyDescent="0.15"/>
    <row r="770" ht="13" hidden="1" x14ac:dyDescent="0.15"/>
    <row r="771" ht="13" hidden="1" x14ac:dyDescent="0.15"/>
    <row r="772" ht="13" hidden="1" x14ac:dyDescent="0.15"/>
    <row r="773" ht="13" hidden="1" x14ac:dyDescent="0.15"/>
    <row r="774" ht="13" hidden="1" x14ac:dyDescent="0.15"/>
    <row r="775" ht="13" hidden="1" x14ac:dyDescent="0.15"/>
    <row r="776" ht="13" hidden="1" x14ac:dyDescent="0.15"/>
    <row r="777" ht="13" hidden="1" x14ac:dyDescent="0.15"/>
    <row r="778" ht="13" hidden="1" x14ac:dyDescent="0.15"/>
    <row r="779" ht="13" hidden="1" x14ac:dyDescent="0.15"/>
    <row r="780" ht="13" hidden="1" x14ac:dyDescent="0.15"/>
    <row r="781" ht="13" hidden="1" x14ac:dyDescent="0.15"/>
    <row r="782" ht="13" hidden="1" x14ac:dyDescent="0.15"/>
    <row r="783" ht="13" hidden="1" x14ac:dyDescent="0.15"/>
    <row r="784" ht="13" hidden="1" x14ac:dyDescent="0.15"/>
    <row r="785" ht="13" hidden="1" x14ac:dyDescent="0.15"/>
    <row r="786" ht="13" hidden="1" x14ac:dyDescent="0.15"/>
    <row r="787" ht="13" hidden="1" x14ac:dyDescent="0.15"/>
    <row r="788" ht="13" hidden="1" x14ac:dyDescent="0.15"/>
    <row r="789" ht="13" hidden="1" x14ac:dyDescent="0.15"/>
    <row r="790" ht="13" hidden="1" x14ac:dyDescent="0.15"/>
    <row r="791" ht="13" hidden="1" x14ac:dyDescent="0.15"/>
    <row r="792" ht="13" hidden="1" x14ac:dyDescent="0.15"/>
    <row r="793" ht="13" hidden="1" x14ac:dyDescent="0.15"/>
    <row r="794" ht="13" hidden="1" x14ac:dyDescent="0.15"/>
    <row r="795" ht="13" hidden="1" x14ac:dyDescent="0.15"/>
    <row r="796" ht="13" hidden="1" x14ac:dyDescent="0.15"/>
    <row r="797" ht="13" hidden="1" x14ac:dyDescent="0.15"/>
    <row r="798" ht="13" hidden="1" x14ac:dyDescent="0.15"/>
    <row r="799" ht="13" hidden="1" x14ac:dyDescent="0.15"/>
    <row r="800" ht="13" hidden="1" x14ac:dyDescent="0.15"/>
    <row r="801" ht="13" hidden="1" x14ac:dyDescent="0.15"/>
    <row r="802" ht="13" hidden="1" x14ac:dyDescent="0.15"/>
    <row r="803" ht="13" hidden="1" x14ac:dyDescent="0.15"/>
    <row r="804" ht="13" hidden="1" x14ac:dyDescent="0.15"/>
    <row r="805" ht="13" hidden="1" x14ac:dyDescent="0.15"/>
    <row r="806" ht="13" hidden="1" x14ac:dyDescent="0.15"/>
    <row r="807" ht="13" hidden="1" x14ac:dyDescent="0.15"/>
    <row r="808" ht="13" hidden="1" x14ac:dyDescent="0.15"/>
    <row r="809" ht="13" hidden="1" x14ac:dyDescent="0.15"/>
    <row r="810" ht="13" hidden="1" x14ac:dyDescent="0.15"/>
    <row r="811" ht="13" hidden="1" x14ac:dyDescent="0.15"/>
    <row r="812" ht="13" hidden="1" x14ac:dyDescent="0.15"/>
    <row r="813" ht="13" hidden="1" x14ac:dyDescent="0.15"/>
    <row r="814" ht="13" hidden="1" x14ac:dyDescent="0.15"/>
    <row r="815" ht="13" hidden="1" x14ac:dyDescent="0.15"/>
    <row r="816" ht="13" hidden="1" x14ac:dyDescent="0.15"/>
    <row r="817" ht="13" hidden="1" x14ac:dyDescent="0.15"/>
    <row r="818" ht="13" hidden="1" x14ac:dyDescent="0.15"/>
    <row r="819" ht="13" hidden="1" x14ac:dyDescent="0.15"/>
    <row r="820" ht="13" hidden="1" x14ac:dyDescent="0.15"/>
    <row r="821" ht="13" hidden="1" x14ac:dyDescent="0.15"/>
    <row r="822" ht="13" hidden="1" x14ac:dyDescent="0.15"/>
    <row r="823" ht="13" hidden="1" x14ac:dyDescent="0.15"/>
    <row r="824" ht="13" hidden="1" x14ac:dyDescent="0.15"/>
    <row r="825" ht="13" hidden="1" x14ac:dyDescent="0.15"/>
    <row r="826" ht="13" hidden="1" x14ac:dyDescent="0.15"/>
    <row r="827" ht="13" hidden="1" x14ac:dyDescent="0.15"/>
    <row r="828" ht="13" hidden="1" x14ac:dyDescent="0.15"/>
    <row r="829" ht="13" hidden="1" x14ac:dyDescent="0.15"/>
    <row r="830" ht="13" hidden="1" x14ac:dyDescent="0.15"/>
    <row r="831" ht="13" hidden="1" x14ac:dyDescent="0.15"/>
    <row r="832" ht="13" hidden="1" x14ac:dyDescent="0.15"/>
    <row r="833" ht="13" hidden="1" x14ac:dyDescent="0.15"/>
    <row r="834" ht="13" hidden="1" x14ac:dyDescent="0.15"/>
    <row r="835" ht="13" hidden="1" x14ac:dyDescent="0.15"/>
    <row r="836" ht="13" hidden="1" x14ac:dyDescent="0.15"/>
    <row r="837" ht="13" hidden="1" x14ac:dyDescent="0.15"/>
    <row r="838" ht="13" hidden="1" x14ac:dyDescent="0.15"/>
    <row r="839" ht="13" hidden="1" x14ac:dyDescent="0.15"/>
    <row r="840" ht="13" hidden="1" x14ac:dyDescent="0.15"/>
    <row r="841" ht="13" hidden="1" x14ac:dyDescent="0.15"/>
    <row r="842" ht="13" hidden="1" x14ac:dyDescent="0.15"/>
    <row r="843" ht="13" hidden="1" x14ac:dyDescent="0.15"/>
    <row r="844" ht="13" hidden="1" x14ac:dyDescent="0.15"/>
    <row r="845" ht="13" hidden="1" x14ac:dyDescent="0.15"/>
    <row r="846" ht="13" hidden="1" x14ac:dyDescent="0.15"/>
    <row r="847" ht="13" hidden="1" x14ac:dyDescent="0.15"/>
    <row r="848" ht="13" hidden="1" x14ac:dyDescent="0.15"/>
    <row r="849" ht="13" hidden="1" x14ac:dyDescent="0.15"/>
    <row r="850" ht="13" hidden="1" x14ac:dyDescent="0.15"/>
    <row r="851" ht="13" hidden="1" x14ac:dyDescent="0.15"/>
    <row r="852" ht="13" hidden="1" x14ac:dyDescent="0.15"/>
    <row r="853" ht="13" hidden="1" x14ac:dyDescent="0.15"/>
    <row r="854" ht="13" hidden="1" x14ac:dyDescent="0.15"/>
    <row r="855" ht="13" hidden="1" x14ac:dyDescent="0.15"/>
    <row r="856" ht="13" hidden="1" x14ac:dyDescent="0.15"/>
    <row r="857" ht="13" hidden="1" x14ac:dyDescent="0.15"/>
    <row r="858" ht="13" hidden="1" x14ac:dyDescent="0.15"/>
    <row r="859" ht="13" hidden="1" x14ac:dyDescent="0.15"/>
    <row r="860" ht="13" hidden="1" x14ac:dyDescent="0.15"/>
    <row r="861" ht="13" hidden="1" x14ac:dyDescent="0.15"/>
    <row r="862" ht="13" hidden="1" x14ac:dyDescent="0.15"/>
    <row r="863" ht="13" hidden="1" x14ac:dyDescent="0.15"/>
    <row r="864" ht="13" hidden="1" x14ac:dyDescent="0.15"/>
    <row r="865" ht="13" hidden="1" x14ac:dyDescent="0.15"/>
    <row r="866" ht="13" hidden="1" x14ac:dyDescent="0.15"/>
    <row r="867" ht="13" hidden="1" x14ac:dyDescent="0.15"/>
    <row r="868" ht="13" hidden="1" x14ac:dyDescent="0.15"/>
    <row r="869" ht="13" hidden="1" x14ac:dyDescent="0.15"/>
    <row r="870" ht="13" hidden="1" x14ac:dyDescent="0.15"/>
    <row r="871" ht="13" hidden="1" x14ac:dyDescent="0.15"/>
    <row r="872" ht="13" hidden="1" x14ac:dyDescent="0.15"/>
    <row r="873" ht="13" hidden="1" x14ac:dyDescent="0.15"/>
    <row r="874" ht="13" hidden="1" x14ac:dyDescent="0.15"/>
    <row r="875" ht="13" hidden="1" x14ac:dyDescent="0.15"/>
    <row r="876" ht="13" hidden="1" x14ac:dyDescent="0.15"/>
    <row r="877" ht="13" hidden="1" x14ac:dyDescent="0.15"/>
    <row r="878" ht="13" hidden="1" x14ac:dyDescent="0.15"/>
    <row r="879" ht="13" hidden="1" x14ac:dyDescent="0.15"/>
    <row r="880" ht="13" hidden="1" x14ac:dyDescent="0.15"/>
    <row r="881" ht="13" hidden="1" x14ac:dyDescent="0.15"/>
    <row r="882" ht="13" hidden="1" x14ac:dyDescent="0.15"/>
    <row r="883" ht="13" hidden="1" x14ac:dyDescent="0.15"/>
    <row r="884" ht="13" hidden="1" x14ac:dyDescent="0.15"/>
    <row r="885" ht="13" hidden="1" x14ac:dyDescent="0.15"/>
    <row r="886" ht="13" hidden="1" x14ac:dyDescent="0.15"/>
    <row r="887" ht="13" hidden="1" x14ac:dyDescent="0.15"/>
    <row r="888" ht="13" hidden="1" x14ac:dyDescent="0.15"/>
    <row r="889" ht="13" hidden="1" x14ac:dyDescent="0.15"/>
    <row r="890" ht="13" hidden="1" x14ac:dyDescent="0.15"/>
    <row r="891" ht="13" hidden="1" x14ac:dyDescent="0.15"/>
    <row r="892" ht="13" hidden="1" x14ac:dyDescent="0.15"/>
    <row r="893" ht="13" hidden="1" x14ac:dyDescent="0.15"/>
    <row r="894" ht="13" hidden="1" x14ac:dyDescent="0.15"/>
    <row r="895" ht="13" hidden="1" x14ac:dyDescent="0.15"/>
    <row r="896" ht="13" hidden="1" x14ac:dyDescent="0.15"/>
    <row r="897" ht="13" hidden="1" x14ac:dyDescent="0.15"/>
    <row r="898" ht="13" hidden="1" x14ac:dyDescent="0.15"/>
    <row r="899" ht="13" hidden="1" x14ac:dyDescent="0.15"/>
    <row r="900" ht="13" hidden="1" x14ac:dyDescent="0.15"/>
    <row r="901" ht="13" hidden="1" x14ac:dyDescent="0.15"/>
    <row r="902" ht="13" hidden="1" x14ac:dyDescent="0.15"/>
    <row r="903" ht="13" hidden="1" x14ac:dyDescent="0.15"/>
    <row r="904" ht="13" hidden="1" x14ac:dyDescent="0.15"/>
    <row r="905" ht="13" hidden="1" x14ac:dyDescent="0.15"/>
    <row r="906" ht="13" hidden="1" x14ac:dyDescent="0.15"/>
    <row r="907" ht="13" hidden="1" x14ac:dyDescent="0.15"/>
    <row r="908" ht="13" hidden="1" x14ac:dyDescent="0.15"/>
    <row r="909" ht="13" hidden="1" x14ac:dyDescent="0.15"/>
    <row r="910" ht="13" hidden="1" x14ac:dyDescent="0.15"/>
    <row r="911" ht="13" hidden="1" x14ac:dyDescent="0.15"/>
    <row r="912" ht="13" hidden="1" x14ac:dyDescent="0.15"/>
    <row r="913" ht="13" hidden="1" x14ac:dyDescent="0.15"/>
    <row r="914" ht="13" hidden="1" x14ac:dyDescent="0.15"/>
    <row r="915" ht="13" hidden="1" x14ac:dyDescent="0.15"/>
    <row r="916" ht="13" hidden="1" x14ac:dyDescent="0.15"/>
    <row r="917" ht="13" hidden="1" x14ac:dyDescent="0.15"/>
    <row r="918" ht="13" hidden="1" x14ac:dyDescent="0.15"/>
    <row r="919" ht="13" hidden="1" x14ac:dyDescent="0.15"/>
    <row r="920" ht="13" hidden="1" x14ac:dyDescent="0.15"/>
    <row r="921" ht="13" hidden="1" x14ac:dyDescent="0.15"/>
    <row r="922" ht="13" hidden="1" x14ac:dyDescent="0.15"/>
    <row r="923" ht="13" hidden="1" x14ac:dyDescent="0.15"/>
    <row r="924" ht="13" hidden="1" x14ac:dyDescent="0.15"/>
    <row r="925" ht="13" hidden="1" x14ac:dyDescent="0.15"/>
    <row r="926" ht="13" hidden="1" x14ac:dyDescent="0.15"/>
    <row r="927" ht="13" hidden="1" x14ac:dyDescent="0.15"/>
    <row r="928" ht="13" hidden="1" x14ac:dyDescent="0.15"/>
    <row r="929" ht="13" hidden="1" x14ac:dyDescent="0.15"/>
    <row r="930" ht="13" hidden="1" x14ac:dyDescent="0.15"/>
    <row r="931" ht="13" hidden="1" x14ac:dyDescent="0.15"/>
    <row r="932" ht="13" hidden="1" x14ac:dyDescent="0.15"/>
    <row r="933" ht="13" hidden="1" x14ac:dyDescent="0.15"/>
    <row r="934" ht="13" hidden="1" x14ac:dyDescent="0.15"/>
    <row r="935" ht="13" hidden="1" x14ac:dyDescent="0.15"/>
    <row r="936" ht="13" hidden="1" x14ac:dyDescent="0.15"/>
    <row r="937" ht="13" hidden="1" x14ac:dyDescent="0.15"/>
    <row r="938" ht="13" hidden="1" x14ac:dyDescent="0.15"/>
    <row r="939" ht="13" hidden="1" x14ac:dyDescent="0.15"/>
    <row r="940" ht="13" hidden="1" x14ac:dyDescent="0.15"/>
    <row r="941" ht="13" hidden="1" x14ac:dyDescent="0.15"/>
    <row r="942" ht="13" hidden="1" x14ac:dyDescent="0.15"/>
    <row r="943" ht="13" hidden="1" x14ac:dyDescent="0.15"/>
    <row r="944" ht="13" hidden="1" x14ac:dyDescent="0.15"/>
    <row r="945" ht="13" hidden="1" x14ac:dyDescent="0.15"/>
    <row r="946" ht="13" hidden="1" x14ac:dyDescent="0.15"/>
    <row r="947" ht="13" hidden="1" x14ac:dyDescent="0.15"/>
    <row r="948" ht="13" hidden="1" x14ac:dyDescent="0.15"/>
    <row r="949" ht="13" hidden="1" x14ac:dyDescent="0.15"/>
    <row r="950" ht="13" hidden="1" x14ac:dyDescent="0.15"/>
    <row r="951" ht="13" hidden="1" x14ac:dyDescent="0.15"/>
    <row r="952" ht="13" hidden="1" x14ac:dyDescent="0.15"/>
    <row r="953" ht="13" hidden="1" x14ac:dyDescent="0.15"/>
    <row r="954" ht="13" hidden="1" x14ac:dyDescent="0.15"/>
    <row r="955" ht="13" hidden="1" x14ac:dyDescent="0.15"/>
    <row r="956" ht="13" hidden="1" x14ac:dyDescent="0.15"/>
    <row r="957" ht="13" hidden="1" x14ac:dyDescent="0.15"/>
    <row r="958" ht="13" hidden="1" x14ac:dyDescent="0.15"/>
    <row r="959" ht="13" hidden="1" x14ac:dyDescent="0.15"/>
    <row r="960" ht="13" hidden="1" x14ac:dyDescent="0.15"/>
    <row r="961" ht="13" hidden="1" x14ac:dyDescent="0.15"/>
    <row r="962" ht="13" hidden="1" x14ac:dyDescent="0.15"/>
    <row r="963" ht="13" hidden="1" x14ac:dyDescent="0.15"/>
    <row r="964" ht="13" hidden="1" x14ac:dyDescent="0.15"/>
    <row r="965" ht="13" hidden="1" x14ac:dyDescent="0.15"/>
    <row r="966" ht="13" hidden="1" x14ac:dyDescent="0.15"/>
    <row r="967" ht="13" hidden="1" x14ac:dyDescent="0.15"/>
    <row r="968" ht="13" hidden="1" x14ac:dyDescent="0.15"/>
    <row r="969" ht="13" hidden="1" x14ac:dyDescent="0.15"/>
    <row r="970" ht="13" hidden="1" x14ac:dyDescent="0.15"/>
    <row r="971" ht="13" hidden="1" x14ac:dyDescent="0.15"/>
    <row r="972" ht="13" hidden="1" x14ac:dyDescent="0.15"/>
    <row r="973" ht="13" hidden="1" x14ac:dyDescent="0.15"/>
    <row r="974" ht="13" hidden="1" x14ac:dyDescent="0.15"/>
    <row r="975" ht="13" hidden="1" x14ac:dyDescent="0.15"/>
    <row r="976" ht="13" hidden="1" x14ac:dyDescent="0.15"/>
    <row r="977" ht="13" hidden="1" x14ac:dyDescent="0.15"/>
    <row r="978" ht="13" hidden="1" x14ac:dyDescent="0.15"/>
    <row r="979" ht="13" hidden="1" x14ac:dyDescent="0.15"/>
    <row r="980" ht="13" hidden="1" x14ac:dyDescent="0.15"/>
    <row r="981" ht="13" hidden="1" x14ac:dyDescent="0.15"/>
    <row r="982" ht="13" hidden="1" x14ac:dyDescent="0.15"/>
    <row r="983" ht="13" hidden="1" x14ac:dyDescent="0.15"/>
    <row r="984" ht="13" hidden="1" x14ac:dyDescent="0.15"/>
    <row r="985" ht="13" hidden="1" x14ac:dyDescent="0.15"/>
    <row r="986" ht="13" hidden="1" x14ac:dyDescent="0.15"/>
    <row r="987" ht="13" hidden="1" x14ac:dyDescent="0.15"/>
    <row r="988" ht="13" hidden="1" x14ac:dyDescent="0.15"/>
    <row r="989" ht="13" hidden="1" x14ac:dyDescent="0.15"/>
    <row r="990" ht="13" hidden="1" x14ac:dyDescent="0.15"/>
    <row r="991" ht="13" hidden="1" x14ac:dyDescent="0.15"/>
    <row r="992" ht="13" hidden="1" x14ac:dyDescent="0.15"/>
    <row r="993" ht="13" hidden="1" x14ac:dyDescent="0.15"/>
  </sheetData>
  <mergeCells count="14">
    <mergeCell ref="A2:A3"/>
    <mergeCell ref="Q2:Q3"/>
    <mergeCell ref="B2:B3"/>
    <mergeCell ref="E2:E3"/>
    <mergeCell ref="S2:S3"/>
    <mergeCell ref="T2:T3"/>
    <mergeCell ref="C2:C3"/>
    <mergeCell ref="K2:O2"/>
    <mergeCell ref="D2:D3"/>
    <mergeCell ref="F4:J4"/>
    <mergeCell ref="F2:J2"/>
    <mergeCell ref="U2:U3"/>
    <mergeCell ref="R2:R3"/>
    <mergeCell ref="P2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I446"/>
  <sheetViews>
    <sheetView zoomScale="109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G447" sqref="G447"/>
    </sheetView>
  </sheetViews>
  <sheetFormatPr baseColWidth="10" defaultColWidth="12.6640625" defaultRowHeight="15.75" customHeight="1" x14ac:dyDescent="0.15"/>
  <cols>
    <col min="1" max="1" width="25.1640625" customWidth="1"/>
    <col min="2" max="2" width="30.1640625" customWidth="1"/>
    <col min="3" max="3" width="10.6640625" bestFit="1" customWidth="1"/>
    <col min="64" max="64" width="4.6640625" customWidth="1"/>
    <col min="66" max="66" width="2.1640625" customWidth="1"/>
    <col min="68" max="68" width="2.1640625" customWidth="1"/>
    <col min="70" max="70" width="2.1640625" customWidth="1"/>
    <col min="72" max="72" width="2.1640625" customWidth="1"/>
    <col min="74" max="74" width="2.1640625" customWidth="1"/>
    <col min="78" max="87" width="12.6640625" hidden="1" customWidth="1"/>
  </cols>
  <sheetData>
    <row r="1" spans="1:87" ht="16" x14ac:dyDescent="0.2">
      <c r="A1" s="117"/>
      <c r="B1" s="118"/>
      <c r="C1" s="118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45</v>
      </c>
      <c r="V1" s="12" t="s">
        <v>46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</row>
    <row r="2" spans="1:87" ht="16" x14ac:dyDescent="0.2">
      <c r="A2" s="124"/>
      <c r="B2" s="123"/>
      <c r="C2" s="118"/>
      <c r="D2" s="14">
        <v>2026</v>
      </c>
      <c r="E2" s="15">
        <f t="shared" ref="E2:O2" si="0">D2</f>
        <v>2026</v>
      </c>
      <c r="F2" s="15">
        <f t="shared" si="0"/>
        <v>2026</v>
      </c>
      <c r="G2" s="15">
        <f t="shared" si="0"/>
        <v>2026</v>
      </c>
      <c r="H2" s="15">
        <f t="shared" si="0"/>
        <v>2026</v>
      </c>
      <c r="I2" s="15">
        <f t="shared" si="0"/>
        <v>2026</v>
      </c>
      <c r="J2" s="15">
        <f t="shared" si="0"/>
        <v>2026</v>
      </c>
      <c r="K2" s="15">
        <f t="shared" si="0"/>
        <v>2026</v>
      </c>
      <c r="L2" s="15">
        <f t="shared" si="0"/>
        <v>2026</v>
      </c>
      <c r="M2" s="15">
        <f t="shared" si="0"/>
        <v>2026</v>
      </c>
      <c r="N2" s="15">
        <f t="shared" si="0"/>
        <v>2026</v>
      </c>
      <c r="O2" s="15">
        <f t="shared" si="0"/>
        <v>2026</v>
      </c>
      <c r="P2" s="14">
        <f>D2+1</f>
        <v>2027</v>
      </c>
      <c r="Q2" s="15">
        <f t="shared" ref="Q2:AA2" si="1">P2</f>
        <v>2027</v>
      </c>
      <c r="R2" s="15">
        <f t="shared" si="1"/>
        <v>2027</v>
      </c>
      <c r="S2" s="15">
        <f t="shared" si="1"/>
        <v>2027</v>
      </c>
      <c r="T2" s="15">
        <f t="shared" si="1"/>
        <v>2027</v>
      </c>
      <c r="U2" s="15">
        <f t="shared" si="1"/>
        <v>2027</v>
      </c>
      <c r="V2" s="15">
        <f t="shared" si="1"/>
        <v>2027</v>
      </c>
      <c r="W2" s="15">
        <f t="shared" si="1"/>
        <v>2027</v>
      </c>
      <c r="X2" s="15">
        <f t="shared" si="1"/>
        <v>2027</v>
      </c>
      <c r="Y2" s="15">
        <f t="shared" si="1"/>
        <v>2027</v>
      </c>
      <c r="Z2" s="15">
        <f t="shared" si="1"/>
        <v>2027</v>
      </c>
      <c r="AA2" s="15">
        <f t="shared" si="1"/>
        <v>2027</v>
      </c>
      <c r="AB2" s="14">
        <f>P2+1</f>
        <v>2028</v>
      </c>
      <c r="AC2" s="15">
        <f t="shared" ref="AC2:AM2" si="2">AB2</f>
        <v>2028</v>
      </c>
      <c r="AD2" s="15">
        <f t="shared" si="2"/>
        <v>2028</v>
      </c>
      <c r="AE2" s="15">
        <f t="shared" si="2"/>
        <v>2028</v>
      </c>
      <c r="AF2" s="15">
        <f t="shared" si="2"/>
        <v>2028</v>
      </c>
      <c r="AG2" s="15">
        <f t="shared" si="2"/>
        <v>2028</v>
      </c>
      <c r="AH2" s="15">
        <f t="shared" si="2"/>
        <v>2028</v>
      </c>
      <c r="AI2" s="15">
        <f t="shared" si="2"/>
        <v>2028</v>
      </c>
      <c r="AJ2" s="15">
        <f t="shared" si="2"/>
        <v>2028</v>
      </c>
      <c r="AK2" s="15">
        <f t="shared" si="2"/>
        <v>2028</v>
      </c>
      <c r="AL2" s="15">
        <f t="shared" si="2"/>
        <v>2028</v>
      </c>
      <c r="AM2" s="15">
        <f t="shared" si="2"/>
        <v>2028</v>
      </c>
      <c r="AN2" s="14">
        <f>AB2+1</f>
        <v>2029</v>
      </c>
      <c r="AO2" s="15">
        <f t="shared" ref="AO2:AY2" si="3">AN2</f>
        <v>2029</v>
      </c>
      <c r="AP2" s="15">
        <f t="shared" si="3"/>
        <v>2029</v>
      </c>
      <c r="AQ2" s="15">
        <f t="shared" si="3"/>
        <v>2029</v>
      </c>
      <c r="AR2" s="15">
        <f t="shared" si="3"/>
        <v>2029</v>
      </c>
      <c r="AS2" s="15">
        <f t="shared" si="3"/>
        <v>2029</v>
      </c>
      <c r="AT2" s="15">
        <f t="shared" si="3"/>
        <v>2029</v>
      </c>
      <c r="AU2" s="15">
        <f t="shared" si="3"/>
        <v>2029</v>
      </c>
      <c r="AV2" s="15">
        <f t="shared" si="3"/>
        <v>2029</v>
      </c>
      <c r="AW2" s="15">
        <f t="shared" si="3"/>
        <v>2029</v>
      </c>
      <c r="AX2" s="15">
        <f t="shared" si="3"/>
        <v>2029</v>
      </c>
      <c r="AY2" s="15">
        <f t="shared" si="3"/>
        <v>2029</v>
      </c>
      <c r="AZ2" s="14">
        <f>AN2+1</f>
        <v>2030</v>
      </c>
      <c r="BA2" s="15">
        <f t="shared" ref="BA2:BK2" si="4">AZ2</f>
        <v>2030</v>
      </c>
      <c r="BB2" s="15">
        <f t="shared" si="4"/>
        <v>2030</v>
      </c>
      <c r="BC2" s="15">
        <f t="shared" si="4"/>
        <v>2030</v>
      </c>
      <c r="BD2" s="15">
        <f t="shared" si="4"/>
        <v>2030</v>
      </c>
      <c r="BE2" s="15">
        <f t="shared" si="4"/>
        <v>2030</v>
      </c>
      <c r="BF2" s="15">
        <f t="shared" si="4"/>
        <v>2030</v>
      </c>
      <c r="BG2" s="15">
        <f t="shared" si="4"/>
        <v>2030</v>
      </c>
      <c r="BH2" s="15">
        <f t="shared" si="4"/>
        <v>2030</v>
      </c>
      <c r="BI2" s="15">
        <f t="shared" si="4"/>
        <v>2030</v>
      </c>
      <c r="BJ2" s="15">
        <f t="shared" si="4"/>
        <v>2030</v>
      </c>
      <c r="BK2" s="15">
        <f t="shared" si="4"/>
        <v>2030</v>
      </c>
      <c r="BL2" s="12"/>
      <c r="BM2" s="15">
        <v>2026</v>
      </c>
      <c r="BN2" s="12"/>
      <c r="BO2" s="15">
        <v>2027</v>
      </c>
      <c r="BP2" s="12"/>
      <c r="BQ2" s="15">
        <v>2028</v>
      </c>
      <c r="BR2" s="12"/>
      <c r="BS2" s="15">
        <v>2029</v>
      </c>
      <c r="BT2" s="12"/>
      <c r="BU2" s="15">
        <v>2030</v>
      </c>
      <c r="BV2" s="12"/>
      <c r="BW2" s="15" t="s">
        <v>47</v>
      </c>
      <c r="BX2" s="16"/>
      <c r="BY2" s="16"/>
      <c r="BZ2" s="16"/>
      <c r="CA2" s="16"/>
      <c r="CB2" s="12"/>
      <c r="CC2" s="16"/>
      <c r="CD2" s="16"/>
      <c r="CE2" s="16"/>
      <c r="CF2" s="16"/>
      <c r="CG2" s="16"/>
      <c r="CH2" s="16"/>
      <c r="CI2" s="16"/>
    </row>
    <row r="3" spans="1:87" ht="16" x14ac:dyDescent="0.2">
      <c r="A3" s="118"/>
      <c r="B3" s="13" t="s">
        <v>48</v>
      </c>
      <c r="C3" s="17" t="s">
        <v>49</v>
      </c>
      <c r="D3" s="14">
        <v>31</v>
      </c>
      <c r="E3" s="15">
        <v>28</v>
      </c>
      <c r="F3" s="15">
        <v>31</v>
      </c>
      <c r="G3" s="15">
        <v>30</v>
      </c>
      <c r="H3" s="15">
        <v>31</v>
      </c>
      <c r="I3" s="15">
        <v>30</v>
      </c>
      <c r="J3" s="15">
        <v>31</v>
      </c>
      <c r="K3" s="15">
        <v>31</v>
      </c>
      <c r="L3" s="15">
        <v>30</v>
      </c>
      <c r="M3" s="15">
        <v>31</v>
      </c>
      <c r="N3" s="15">
        <v>30</v>
      </c>
      <c r="O3" s="18">
        <v>31</v>
      </c>
      <c r="P3" s="15">
        <v>31</v>
      </c>
      <c r="Q3" s="15">
        <v>28</v>
      </c>
      <c r="R3" s="15">
        <v>31</v>
      </c>
      <c r="S3" s="15">
        <v>30</v>
      </c>
      <c r="T3" s="15">
        <v>31</v>
      </c>
      <c r="U3" s="15">
        <v>30</v>
      </c>
      <c r="V3" s="15">
        <v>31</v>
      </c>
      <c r="W3" s="15">
        <v>31</v>
      </c>
      <c r="X3" s="15">
        <v>30</v>
      </c>
      <c r="Y3" s="15">
        <v>31</v>
      </c>
      <c r="Z3" s="15">
        <v>30</v>
      </c>
      <c r="AA3" s="18">
        <v>31</v>
      </c>
      <c r="AB3" s="15">
        <v>31</v>
      </c>
      <c r="AC3" s="15">
        <v>28</v>
      </c>
      <c r="AD3" s="15">
        <v>31</v>
      </c>
      <c r="AE3" s="15">
        <v>30</v>
      </c>
      <c r="AF3" s="15">
        <v>31</v>
      </c>
      <c r="AG3" s="15">
        <v>30</v>
      </c>
      <c r="AH3" s="15">
        <v>31</v>
      </c>
      <c r="AI3" s="15">
        <v>31</v>
      </c>
      <c r="AJ3" s="15">
        <v>30</v>
      </c>
      <c r="AK3" s="15">
        <v>31</v>
      </c>
      <c r="AL3" s="15">
        <v>30</v>
      </c>
      <c r="AM3" s="18">
        <v>31</v>
      </c>
      <c r="AN3" s="15">
        <v>31</v>
      </c>
      <c r="AO3" s="15">
        <v>28</v>
      </c>
      <c r="AP3" s="15">
        <v>31</v>
      </c>
      <c r="AQ3" s="15">
        <v>30</v>
      </c>
      <c r="AR3" s="15">
        <v>31</v>
      </c>
      <c r="AS3" s="15">
        <v>30</v>
      </c>
      <c r="AT3" s="15">
        <v>31</v>
      </c>
      <c r="AU3" s="15">
        <v>31</v>
      </c>
      <c r="AV3" s="15">
        <v>30</v>
      </c>
      <c r="AW3" s="15">
        <v>31</v>
      </c>
      <c r="AX3" s="15">
        <v>30</v>
      </c>
      <c r="AY3" s="18">
        <v>31</v>
      </c>
      <c r="AZ3" s="15">
        <v>31</v>
      </c>
      <c r="BA3" s="15">
        <v>29</v>
      </c>
      <c r="BB3" s="15">
        <v>31</v>
      </c>
      <c r="BC3" s="15">
        <v>30</v>
      </c>
      <c r="BD3" s="15">
        <v>31</v>
      </c>
      <c r="BE3" s="15">
        <v>30</v>
      </c>
      <c r="BF3" s="15">
        <v>31</v>
      </c>
      <c r="BG3" s="15">
        <v>31</v>
      </c>
      <c r="BH3" s="15">
        <v>30</v>
      </c>
      <c r="BI3" s="15">
        <v>31</v>
      </c>
      <c r="BJ3" s="15">
        <v>30</v>
      </c>
      <c r="BK3" s="18">
        <v>31</v>
      </c>
      <c r="BL3" s="12"/>
      <c r="BM3" s="15"/>
      <c r="BN3" s="12"/>
      <c r="BO3" s="15"/>
      <c r="BP3" s="12"/>
      <c r="BQ3" s="15"/>
      <c r="BR3" s="12"/>
      <c r="BS3" s="15"/>
      <c r="BT3" s="12"/>
      <c r="BU3" s="15"/>
      <c r="BV3" s="12"/>
      <c r="BW3" s="15"/>
      <c r="BX3" s="16"/>
      <c r="BY3" s="16"/>
      <c r="BZ3" s="16"/>
      <c r="CA3" s="16"/>
      <c r="CB3" s="12"/>
      <c r="CC3" s="16"/>
      <c r="CD3" s="16"/>
      <c r="CE3" s="16"/>
      <c r="CF3" s="16"/>
      <c r="CG3" s="16"/>
      <c r="CH3" s="16"/>
      <c r="CI3" s="16"/>
    </row>
    <row r="4" spans="1:87" ht="16" x14ac:dyDescent="0.2">
      <c r="A4" s="118"/>
      <c r="B4" s="123"/>
      <c r="C4" s="118"/>
      <c r="D4" s="14" t="s">
        <v>50</v>
      </c>
      <c r="E4" s="15" t="s">
        <v>51</v>
      </c>
      <c r="F4" s="15" t="s">
        <v>52</v>
      </c>
      <c r="G4" s="15" t="s">
        <v>53</v>
      </c>
      <c r="H4" s="15" t="s">
        <v>54</v>
      </c>
      <c r="I4" s="15" t="s">
        <v>55</v>
      </c>
      <c r="J4" s="15" t="s">
        <v>56</v>
      </c>
      <c r="K4" s="15" t="s">
        <v>57</v>
      </c>
      <c r="L4" s="15" t="s">
        <v>58</v>
      </c>
      <c r="M4" s="15" t="s">
        <v>59</v>
      </c>
      <c r="N4" s="15" t="s">
        <v>60</v>
      </c>
      <c r="O4" s="18" t="s">
        <v>61</v>
      </c>
      <c r="P4" s="15" t="s">
        <v>50</v>
      </c>
      <c r="Q4" s="15" t="s">
        <v>51</v>
      </c>
      <c r="R4" s="15" t="s">
        <v>52</v>
      </c>
      <c r="S4" s="15" t="s">
        <v>53</v>
      </c>
      <c r="T4" s="15" t="s">
        <v>54</v>
      </c>
      <c r="U4" s="15" t="s">
        <v>55</v>
      </c>
      <c r="V4" s="15" t="s">
        <v>56</v>
      </c>
      <c r="W4" s="15" t="s">
        <v>57</v>
      </c>
      <c r="X4" s="15" t="s">
        <v>58</v>
      </c>
      <c r="Y4" s="15" t="s">
        <v>59</v>
      </c>
      <c r="Z4" s="15" t="s">
        <v>60</v>
      </c>
      <c r="AA4" s="18" t="s">
        <v>61</v>
      </c>
      <c r="AB4" s="15" t="s">
        <v>50</v>
      </c>
      <c r="AC4" s="15" t="s">
        <v>51</v>
      </c>
      <c r="AD4" s="15" t="s">
        <v>52</v>
      </c>
      <c r="AE4" s="15" t="s">
        <v>53</v>
      </c>
      <c r="AF4" s="15" t="s">
        <v>54</v>
      </c>
      <c r="AG4" s="15" t="s">
        <v>55</v>
      </c>
      <c r="AH4" s="15" t="s">
        <v>56</v>
      </c>
      <c r="AI4" s="15" t="s">
        <v>57</v>
      </c>
      <c r="AJ4" s="15" t="s">
        <v>58</v>
      </c>
      <c r="AK4" s="15" t="s">
        <v>59</v>
      </c>
      <c r="AL4" s="15" t="s">
        <v>60</v>
      </c>
      <c r="AM4" s="18" t="s">
        <v>61</v>
      </c>
      <c r="AN4" s="15" t="s">
        <v>50</v>
      </c>
      <c r="AO4" s="15" t="s">
        <v>51</v>
      </c>
      <c r="AP4" s="15" t="s">
        <v>52</v>
      </c>
      <c r="AQ4" s="15" t="s">
        <v>53</v>
      </c>
      <c r="AR4" s="15" t="s">
        <v>54</v>
      </c>
      <c r="AS4" s="15" t="s">
        <v>55</v>
      </c>
      <c r="AT4" s="15" t="s">
        <v>56</v>
      </c>
      <c r="AU4" s="15" t="s">
        <v>57</v>
      </c>
      <c r="AV4" s="15" t="s">
        <v>58</v>
      </c>
      <c r="AW4" s="15" t="s">
        <v>59</v>
      </c>
      <c r="AX4" s="15" t="s">
        <v>60</v>
      </c>
      <c r="AY4" s="18" t="s">
        <v>61</v>
      </c>
      <c r="AZ4" s="15" t="s">
        <v>50</v>
      </c>
      <c r="BA4" s="15" t="s">
        <v>51</v>
      </c>
      <c r="BB4" s="15" t="s">
        <v>52</v>
      </c>
      <c r="BC4" s="15" t="s">
        <v>53</v>
      </c>
      <c r="BD4" s="15" t="s">
        <v>54</v>
      </c>
      <c r="BE4" s="15" t="s">
        <v>55</v>
      </c>
      <c r="BF4" s="15" t="s">
        <v>56</v>
      </c>
      <c r="BG4" s="15" t="s">
        <v>57</v>
      </c>
      <c r="BH4" s="15" t="s">
        <v>58</v>
      </c>
      <c r="BI4" s="15" t="s">
        <v>59</v>
      </c>
      <c r="BJ4" s="15" t="s">
        <v>60</v>
      </c>
      <c r="BK4" s="18" t="s">
        <v>61</v>
      </c>
      <c r="BL4" s="12"/>
      <c r="BM4" s="15"/>
      <c r="BN4" s="12"/>
      <c r="BO4" s="15"/>
      <c r="BP4" s="12"/>
      <c r="BQ4" s="15"/>
      <c r="BR4" s="12"/>
      <c r="BS4" s="15"/>
      <c r="BT4" s="12"/>
      <c r="BU4" s="15"/>
      <c r="BV4" s="12"/>
      <c r="BW4" s="15"/>
      <c r="BX4" s="16"/>
      <c r="BY4" s="16"/>
      <c r="BZ4" s="16"/>
      <c r="CA4" s="16"/>
      <c r="CB4" s="12"/>
      <c r="CC4" s="16"/>
      <c r="CD4" s="16"/>
      <c r="CE4" s="16"/>
      <c r="CF4" s="16"/>
      <c r="CG4" s="16"/>
      <c r="CH4" s="16"/>
      <c r="CI4" s="16"/>
    </row>
    <row r="5" spans="1:87" ht="16" x14ac:dyDescent="0.2">
      <c r="A5" s="118"/>
      <c r="B5" s="19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2"/>
      <c r="BM5" s="16"/>
      <c r="BN5" s="12"/>
      <c r="BO5" s="16"/>
      <c r="BP5" s="12"/>
      <c r="BQ5" s="16"/>
      <c r="BR5" s="12"/>
      <c r="BS5" s="16"/>
      <c r="BT5" s="12"/>
      <c r="BU5" s="16"/>
      <c r="BV5" s="12"/>
      <c r="BW5" s="16"/>
      <c r="BX5" s="16"/>
      <c r="BY5" s="16"/>
      <c r="BZ5" s="16"/>
      <c r="CA5" s="16"/>
      <c r="CB5" s="12"/>
      <c r="CC5" s="16"/>
      <c r="CD5" s="16"/>
      <c r="CE5" s="16"/>
      <c r="CF5" s="16"/>
      <c r="CG5" s="16"/>
      <c r="CH5" s="16"/>
      <c r="CI5" s="16"/>
    </row>
    <row r="6" spans="1:87" ht="16" x14ac:dyDescent="0.2">
      <c r="A6" s="124"/>
      <c r="B6" s="121" t="s">
        <v>62</v>
      </c>
      <c r="C6" s="118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12"/>
      <c r="BM6" s="20"/>
      <c r="BN6" s="12"/>
      <c r="BO6" s="20"/>
      <c r="BP6" s="12"/>
      <c r="BQ6" s="20"/>
      <c r="BR6" s="12"/>
      <c r="BS6" s="20"/>
      <c r="BT6" s="12"/>
      <c r="BU6" s="20"/>
      <c r="BV6" s="12"/>
      <c r="BW6" s="20"/>
      <c r="BX6" s="16"/>
      <c r="BY6" s="16"/>
      <c r="BZ6" s="16"/>
      <c r="CA6" s="16"/>
      <c r="CB6" s="12"/>
      <c r="CC6" s="16"/>
      <c r="CD6" s="16"/>
      <c r="CE6" s="16"/>
      <c r="CF6" s="16"/>
      <c r="CG6" s="16"/>
      <c r="CH6" s="16"/>
      <c r="CI6" s="16"/>
    </row>
    <row r="7" spans="1:87" ht="16" x14ac:dyDescent="0.2">
      <c r="A7" s="11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</row>
    <row r="8" spans="1:87" ht="16" x14ac:dyDescent="0.2">
      <c r="A8" s="127" t="s">
        <v>63</v>
      </c>
      <c r="B8" s="21" t="s">
        <v>64</v>
      </c>
      <c r="C8" s="22" t="s">
        <v>65</v>
      </c>
      <c r="D8" s="23">
        <v>15</v>
      </c>
      <c r="E8" s="24">
        <v>15</v>
      </c>
      <c r="F8" s="24">
        <v>15</v>
      </c>
      <c r="G8" s="24">
        <v>15</v>
      </c>
      <c r="H8" s="24">
        <v>15</v>
      </c>
      <c r="I8" s="24">
        <v>15</v>
      </c>
      <c r="J8" s="24">
        <v>15</v>
      </c>
      <c r="K8" s="24">
        <v>15</v>
      </c>
      <c r="L8" s="24">
        <v>15</v>
      </c>
      <c r="M8" s="24">
        <v>15</v>
      </c>
      <c r="N8" s="24">
        <v>15</v>
      </c>
      <c r="O8" s="25">
        <v>15</v>
      </c>
      <c r="P8" s="23">
        <v>15</v>
      </c>
      <c r="Q8" s="24">
        <v>15</v>
      </c>
      <c r="R8" s="24">
        <v>15</v>
      </c>
      <c r="S8" s="24">
        <v>15</v>
      </c>
      <c r="T8" s="24">
        <v>15</v>
      </c>
      <c r="U8" s="24">
        <v>15</v>
      </c>
      <c r="V8" s="24">
        <v>15</v>
      </c>
      <c r="W8" s="24">
        <v>15</v>
      </c>
      <c r="X8" s="24">
        <v>15</v>
      </c>
      <c r="Y8" s="24">
        <v>15</v>
      </c>
      <c r="Z8" s="24">
        <v>15</v>
      </c>
      <c r="AA8" s="25">
        <v>15</v>
      </c>
      <c r="AB8" s="23">
        <v>15</v>
      </c>
      <c r="AC8" s="24">
        <v>15</v>
      </c>
      <c r="AD8" s="24">
        <v>15</v>
      </c>
      <c r="AE8" s="24">
        <v>15</v>
      </c>
      <c r="AF8" s="24">
        <v>15</v>
      </c>
      <c r="AG8" s="24">
        <v>15</v>
      </c>
      <c r="AH8" s="24">
        <v>15</v>
      </c>
      <c r="AI8" s="24">
        <v>15</v>
      </c>
      <c r="AJ8" s="24">
        <v>15</v>
      </c>
      <c r="AK8" s="24">
        <v>15</v>
      </c>
      <c r="AL8" s="24">
        <v>15</v>
      </c>
      <c r="AM8" s="25">
        <v>15</v>
      </c>
      <c r="AN8" s="23">
        <v>15</v>
      </c>
      <c r="AO8" s="24">
        <v>15</v>
      </c>
      <c r="AP8" s="24">
        <v>15</v>
      </c>
      <c r="AQ8" s="24">
        <v>15</v>
      </c>
      <c r="AR8" s="24">
        <v>15</v>
      </c>
      <c r="AS8" s="24">
        <v>15</v>
      </c>
      <c r="AT8" s="24">
        <v>15</v>
      </c>
      <c r="AU8" s="24">
        <v>15</v>
      </c>
      <c r="AV8" s="24">
        <v>15</v>
      </c>
      <c r="AW8" s="24">
        <v>15</v>
      </c>
      <c r="AX8" s="24">
        <v>15</v>
      </c>
      <c r="AY8" s="25">
        <v>15</v>
      </c>
      <c r="AZ8" s="23">
        <v>15</v>
      </c>
      <c r="BA8" s="24">
        <v>15</v>
      </c>
      <c r="BB8" s="24">
        <v>15</v>
      </c>
      <c r="BC8" s="24">
        <v>15</v>
      </c>
      <c r="BD8" s="24">
        <v>15</v>
      </c>
      <c r="BE8" s="24">
        <v>15</v>
      </c>
      <c r="BF8" s="24">
        <v>15</v>
      </c>
      <c r="BG8" s="24">
        <v>15</v>
      </c>
      <c r="BH8" s="24">
        <v>15</v>
      </c>
      <c r="BI8" s="24">
        <v>15</v>
      </c>
      <c r="BJ8" s="24">
        <v>15</v>
      </c>
      <c r="BK8" s="25">
        <v>15</v>
      </c>
      <c r="BL8" s="12"/>
      <c r="BM8" s="26">
        <f>SUMIF($D$2:$BK$2,BM$2,$D8:$BK8)</f>
        <v>180</v>
      </c>
      <c r="BN8" s="27"/>
      <c r="BO8" s="26">
        <f>SUMIF($D$2:$BK$2,BO2,$D8:$BK8)</f>
        <v>180</v>
      </c>
      <c r="BP8" s="27"/>
      <c r="BQ8" s="26">
        <f>SUMIF($D$2:$BK$2,BQ2,$D8:$BK8)</f>
        <v>180</v>
      </c>
      <c r="BR8" s="27"/>
      <c r="BS8" s="26">
        <f>SUMIF($D$2:$BK$2,BS2,$D8:$BK8)</f>
        <v>180</v>
      </c>
      <c r="BT8" s="27"/>
      <c r="BU8" s="26">
        <f>SUMIF($D$2:$BK$2,BU2,$D8:$BK8)</f>
        <v>180</v>
      </c>
      <c r="BV8" s="27"/>
      <c r="BW8" s="26">
        <f>BM8+BO8+BQ8+BS8+BU8</f>
        <v>900</v>
      </c>
      <c r="BX8" s="16"/>
      <c r="BY8" s="16"/>
      <c r="BZ8" s="16"/>
      <c r="CA8" s="16"/>
      <c r="CB8" s="12"/>
      <c r="CC8" s="16"/>
      <c r="CD8" s="16"/>
      <c r="CE8" s="16"/>
      <c r="CF8" s="16"/>
      <c r="CG8" s="16"/>
      <c r="CH8" s="16"/>
      <c r="CI8" s="16"/>
    </row>
    <row r="9" spans="1:87" ht="16" x14ac:dyDescent="0.2">
      <c r="A9" s="120"/>
      <c r="B9" s="28" t="s">
        <v>66</v>
      </c>
      <c r="C9" s="29" t="s">
        <v>67</v>
      </c>
      <c r="D9" s="30">
        <v>0.02</v>
      </c>
      <c r="E9" s="31">
        <v>0.02</v>
      </c>
      <c r="F9" s="31">
        <v>0.02</v>
      </c>
      <c r="G9" s="31">
        <v>0.02</v>
      </c>
      <c r="H9" s="31">
        <v>0.02</v>
      </c>
      <c r="I9" s="31">
        <v>0.02</v>
      </c>
      <c r="J9" s="31">
        <v>0.02</v>
      </c>
      <c r="K9" s="31">
        <v>0.02</v>
      </c>
      <c r="L9" s="31">
        <v>0.02</v>
      </c>
      <c r="M9" s="31">
        <v>0.02</v>
      </c>
      <c r="N9" s="31">
        <v>0.02</v>
      </c>
      <c r="O9" s="32">
        <v>0.02</v>
      </c>
      <c r="P9" s="30">
        <v>0.02</v>
      </c>
      <c r="Q9" s="31">
        <v>0.02</v>
      </c>
      <c r="R9" s="31">
        <v>0.02</v>
      </c>
      <c r="S9" s="31">
        <v>0.02</v>
      </c>
      <c r="T9" s="31">
        <v>0.02</v>
      </c>
      <c r="U9" s="31">
        <v>0.02</v>
      </c>
      <c r="V9" s="31">
        <v>0.02</v>
      </c>
      <c r="W9" s="31">
        <v>0.02</v>
      </c>
      <c r="X9" s="31">
        <v>0.02</v>
      </c>
      <c r="Y9" s="31">
        <v>0.02</v>
      </c>
      <c r="Z9" s="31">
        <v>0.02</v>
      </c>
      <c r="AA9" s="32">
        <v>0.02</v>
      </c>
      <c r="AB9" s="30">
        <v>0.02</v>
      </c>
      <c r="AC9" s="31">
        <v>0.02</v>
      </c>
      <c r="AD9" s="31">
        <v>0.02</v>
      </c>
      <c r="AE9" s="31">
        <v>0.02</v>
      </c>
      <c r="AF9" s="31">
        <v>0.02</v>
      </c>
      <c r="AG9" s="31">
        <v>0.02</v>
      </c>
      <c r="AH9" s="31">
        <v>0.02</v>
      </c>
      <c r="AI9" s="31">
        <v>0.02</v>
      </c>
      <c r="AJ9" s="31">
        <v>0.02</v>
      </c>
      <c r="AK9" s="31">
        <v>0.02</v>
      </c>
      <c r="AL9" s="31">
        <v>0.02</v>
      </c>
      <c r="AM9" s="32">
        <v>0.02</v>
      </c>
      <c r="AN9" s="30">
        <v>0.02</v>
      </c>
      <c r="AO9" s="31">
        <v>0.02</v>
      </c>
      <c r="AP9" s="31">
        <v>0.02</v>
      </c>
      <c r="AQ9" s="31">
        <v>0.02</v>
      </c>
      <c r="AR9" s="31">
        <v>0.02</v>
      </c>
      <c r="AS9" s="31">
        <v>0.02</v>
      </c>
      <c r="AT9" s="31">
        <v>0.02</v>
      </c>
      <c r="AU9" s="31">
        <v>0.02</v>
      </c>
      <c r="AV9" s="31">
        <v>0.02</v>
      </c>
      <c r="AW9" s="31">
        <v>0.02</v>
      </c>
      <c r="AX9" s="31">
        <v>0.02</v>
      </c>
      <c r="AY9" s="32">
        <v>0.02</v>
      </c>
      <c r="AZ9" s="30">
        <v>0.02</v>
      </c>
      <c r="BA9" s="31">
        <v>0.02</v>
      </c>
      <c r="BB9" s="31">
        <v>0.02</v>
      </c>
      <c r="BC9" s="31">
        <v>0.02</v>
      </c>
      <c r="BD9" s="31">
        <v>0.02</v>
      </c>
      <c r="BE9" s="31">
        <v>0.02</v>
      </c>
      <c r="BF9" s="31">
        <v>0.02</v>
      </c>
      <c r="BG9" s="31">
        <v>0.02</v>
      </c>
      <c r="BH9" s="31">
        <v>0.02</v>
      </c>
      <c r="BI9" s="31">
        <v>0.02</v>
      </c>
      <c r="BJ9" s="31">
        <v>0.02</v>
      </c>
      <c r="BK9" s="32">
        <v>0.02</v>
      </c>
      <c r="BL9" s="12"/>
      <c r="BM9" s="33"/>
      <c r="BN9" s="12"/>
      <c r="BO9" s="33"/>
      <c r="BP9" s="12"/>
      <c r="BQ9" s="33"/>
      <c r="BR9" s="12"/>
      <c r="BS9" s="33"/>
      <c r="BT9" s="12"/>
      <c r="BU9" s="33"/>
      <c r="BV9" s="12"/>
      <c r="BW9" s="34"/>
      <c r="BX9" s="16"/>
      <c r="BY9" s="16"/>
      <c r="BZ9" s="16"/>
      <c r="CA9" s="16"/>
      <c r="CB9" s="12"/>
      <c r="CC9" s="16"/>
      <c r="CD9" s="16"/>
      <c r="CE9" s="16"/>
      <c r="CF9" s="16"/>
      <c r="CG9" s="16"/>
      <c r="CH9" s="16"/>
      <c r="CI9" s="16"/>
    </row>
    <row r="10" spans="1:87" ht="16" x14ac:dyDescent="0.2">
      <c r="A10" s="120"/>
      <c r="B10" s="35" t="s">
        <v>68</v>
      </c>
      <c r="C10" s="12" t="s">
        <v>69</v>
      </c>
      <c r="D10" s="36">
        <v>500</v>
      </c>
      <c r="E10" s="12">
        <f t="shared" ref="E10:AJ10" si="5">D10*POWER(1+E$11,1/12)</f>
        <v>502.03706189182418</v>
      </c>
      <c r="F10" s="12">
        <f t="shared" si="5"/>
        <v>504.08242302595062</v>
      </c>
      <c r="G10" s="12">
        <f t="shared" si="5"/>
        <v>506.13611721451974</v>
      </c>
      <c r="H10" s="12">
        <f t="shared" si="5"/>
        <v>508.19817840742684</v>
      </c>
      <c r="I10" s="12">
        <f t="shared" si="5"/>
        <v>510.26864069288331</v>
      </c>
      <c r="J10" s="12">
        <f t="shared" si="5"/>
        <v>512.34753829798012</v>
      </c>
      <c r="K10" s="12">
        <f t="shared" si="5"/>
        <v>514.43490558925362</v>
      </c>
      <c r="L10" s="12">
        <f t="shared" si="5"/>
        <v>516.53077707325372</v>
      </c>
      <c r="M10" s="12">
        <f t="shared" si="5"/>
        <v>518.63518739711424</v>
      </c>
      <c r="N10" s="12">
        <f t="shared" si="5"/>
        <v>520.74817134912576</v>
      </c>
      <c r="O10" s="29">
        <f t="shared" si="5"/>
        <v>522.86976385931064</v>
      </c>
      <c r="P10" s="36">
        <f t="shared" si="5"/>
        <v>525.00000000000045</v>
      </c>
      <c r="Q10" s="12">
        <f t="shared" si="5"/>
        <v>527.1389149864159</v>
      </c>
      <c r="R10" s="12">
        <f t="shared" si="5"/>
        <v>529.28654417724863</v>
      </c>
      <c r="S10" s="12">
        <f t="shared" si="5"/>
        <v>531.4429230752462</v>
      </c>
      <c r="T10" s="12">
        <f t="shared" si="5"/>
        <v>533.60808732779867</v>
      </c>
      <c r="U10" s="12">
        <f t="shared" si="5"/>
        <v>535.78207272752798</v>
      </c>
      <c r="V10" s="12">
        <f t="shared" si="5"/>
        <v>537.96491521287965</v>
      </c>
      <c r="W10" s="12">
        <f t="shared" si="5"/>
        <v>540.15665086871684</v>
      </c>
      <c r="X10" s="12">
        <f t="shared" si="5"/>
        <v>542.35731592691695</v>
      </c>
      <c r="Y10" s="12">
        <f t="shared" si="5"/>
        <v>544.56694676697055</v>
      </c>
      <c r="Z10" s="12">
        <f t="shared" si="5"/>
        <v>546.78557991658261</v>
      </c>
      <c r="AA10" s="29">
        <f t="shared" si="5"/>
        <v>549.0132520522767</v>
      </c>
      <c r="AB10" s="36">
        <f t="shared" si="5"/>
        <v>551.25000000000102</v>
      </c>
      <c r="AC10" s="12">
        <f t="shared" si="5"/>
        <v>553.49586073573721</v>
      </c>
      <c r="AD10" s="12">
        <f t="shared" si="5"/>
        <v>555.75087138611161</v>
      </c>
      <c r="AE10" s="12">
        <f t="shared" si="5"/>
        <v>558.0150692290091</v>
      </c>
      <c r="AF10" s="12">
        <f t="shared" si="5"/>
        <v>560.28849169418913</v>
      </c>
      <c r="AG10" s="12">
        <f t="shared" si="5"/>
        <v>562.5711763639049</v>
      </c>
      <c r="AH10" s="12">
        <f t="shared" si="5"/>
        <v>564.86316097352415</v>
      </c>
      <c r="AI10" s="12">
        <f t="shared" si="5"/>
        <v>567.16448341215312</v>
      </c>
      <c r="AJ10" s="12">
        <f t="shared" si="5"/>
        <v>569.47518172326318</v>
      </c>
      <c r="AK10" s="12">
        <f t="shared" ref="AK10:BK10" si="6">AJ10*POWER(1+AK$11,1/12)</f>
        <v>571.79529410531939</v>
      </c>
      <c r="AL10" s="12">
        <f t="shared" si="6"/>
        <v>574.12485891241204</v>
      </c>
      <c r="AM10" s="29">
        <f t="shared" si="6"/>
        <v>576.4639146548908</v>
      </c>
      <c r="AN10" s="36">
        <f t="shared" si="6"/>
        <v>578.81250000000136</v>
      </c>
      <c r="AO10" s="12">
        <f t="shared" si="6"/>
        <v>581.17065377252436</v>
      </c>
      <c r="AP10" s="12">
        <f t="shared" si="6"/>
        <v>583.53841495541747</v>
      </c>
      <c r="AQ10" s="12">
        <f t="shared" si="6"/>
        <v>585.91582269045978</v>
      </c>
      <c r="AR10" s="12">
        <f t="shared" si="6"/>
        <v>588.30291627889892</v>
      </c>
      <c r="AS10" s="12">
        <f t="shared" si="6"/>
        <v>590.69973518210043</v>
      </c>
      <c r="AT10" s="12">
        <f t="shared" si="6"/>
        <v>593.10631902220064</v>
      </c>
      <c r="AU10" s="12">
        <f t="shared" si="6"/>
        <v>595.52270758276109</v>
      </c>
      <c r="AV10" s="12">
        <f t="shared" si="6"/>
        <v>597.94894080942663</v>
      </c>
      <c r="AW10" s="12">
        <f t="shared" si="6"/>
        <v>600.38505881058563</v>
      </c>
      <c r="AX10" s="12">
        <f t="shared" si="6"/>
        <v>602.83110185803298</v>
      </c>
      <c r="AY10" s="29">
        <f t="shared" si="6"/>
        <v>605.28711038763572</v>
      </c>
      <c r="AZ10" s="36">
        <f t="shared" si="6"/>
        <v>607.75312500000177</v>
      </c>
      <c r="BA10" s="12">
        <f t="shared" si="6"/>
        <v>610.2291864611509</v>
      </c>
      <c r="BB10" s="12">
        <f t="shared" si="6"/>
        <v>612.71533570318866</v>
      </c>
      <c r="BC10" s="12">
        <f t="shared" si="6"/>
        <v>615.21161382498315</v>
      </c>
      <c r="BD10" s="12">
        <f t="shared" si="6"/>
        <v>617.71806209284421</v>
      </c>
      <c r="BE10" s="12">
        <f t="shared" si="6"/>
        <v>620.23472194120586</v>
      </c>
      <c r="BF10" s="12">
        <f t="shared" si="6"/>
        <v>622.76163497331106</v>
      </c>
      <c r="BG10" s="12">
        <f t="shared" si="6"/>
        <v>625.2988429618996</v>
      </c>
      <c r="BH10" s="12">
        <f t="shared" si="6"/>
        <v>627.84638784989852</v>
      </c>
      <c r="BI10" s="12">
        <f t="shared" si="6"/>
        <v>630.40431175111553</v>
      </c>
      <c r="BJ10" s="12">
        <f t="shared" si="6"/>
        <v>632.97265695093517</v>
      </c>
      <c r="BK10" s="29">
        <f t="shared" si="6"/>
        <v>635.55146590701804</v>
      </c>
      <c r="BL10" s="12"/>
      <c r="BM10" s="37">
        <f>AVERAGEIFS($D10:$BK10,$D$2:$BK$2,BM$2)</f>
        <v>511.35739706655357</v>
      </c>
      <c r="BN10" s="12"/>
      <c r="BO10" s="37">
        <f>AVERAGEIFS($D10:$BK10,$D2:$BK2,BO2)</f>
        <v>536.92526691988178</v>
      </c>
      <c r="BP10" s="12"/>
      <c r="BQ10" s="37">
        <f>AVERAGEIFS($D10:$BK10,$D2:$BK2,BQ2)</f>
        <v>563.77153026587621</v>
      </c>
      <c r="BR10" s="12"/>
      <c r="BS10" s="37">
        <f>AVERAGEIFS($D10:$BK10,$D2:$BK2,BS2)</f>
        <v>591.96010677917036</v>
      </c>
      <c r="BT10" s="12"/>
      <c r="BU10" s="37">
        <f>AVERAGEIFS($D10:$BK10,$D2:$BK2,BU2)</f>
        <v>621.55811211812932</v>
      </c>
      <c r="BV10" s="12"/>
      <c r="BW10" s="38">
        <f>AVERAGE(BM10:BU10)</f>
        <v>565.11448262992224</v>
      </c>
      <c r="BX10" s="12"/>
      <c r="BY10" s="39"/>
      <c r="BZ10" s="39"/>
      <c r="CA10" s="39"/>
      <c r="CB10" s="39"/>
      <c r="CC10" s="39"/>
      <c r="CD10" s="39"/>
      <c r="CE10" s="12"/>
      <c r="CF10" s="12"/>
      <c r="CG10" s="12"/>
      <c r="CH10" s="12"/>
      <c r="CI10" s="12"/>
    </row>
    <row r="11" spans="1:87" ht="16" x14ac:dyDescent="0.2">
      <c r="A11" s="120"/>
      <c r="B11" s="40" t="s">
        <v>70</v>
      </c>
      <c r="C11" s="41" t="s">
        <v>67</v>
      </c>
      <c r="D11" s="42">
        <v>0.05</v>
      </c>
      <c r="E11" s="43">
        <v>0.05</v>
      </c>
      <c r="F11" s="43">
        <v>0.05</v>
      </c>
      <c r="G11" s="43">
        <v>0.05</v>
      </c>
      <c r="H11" s="43">
        <v>0.05</v>
      </c>
      <c r="I11" s="43">
        <v>0.05</v>
      </c>
      <c r="J11" s="43">
        <v>0.05</v>
      </c>
      <c r="K11" s="43">
        <v>0.05</v>
      </c>
      <c r="L11" s="43">
        <v>0.05</v>
      </c>
      <c r="M11" s="43">
        <v>0.05</v>
      </c>
      <c r="N11" s="43">
        <v>0.05</v>
      </c>
      <c r="O11" s="41">
        <v>0.05</v>
      </c>
      <c r="P11" s="42">
        <v>0.05</v>
      </c>
      <c r="Q11" s="43">
        <v>0.05</v>
      </c>
      <c r="R11" s="43">
        <v>0.05</v>
      </c>
      <c r="S11" s="43">
        <v>0.05</v>
      </c>
      <c r="T11" s="43">
        <v>0.05</v>
      </c>
      <c r="U11" s="43">
        <v>0.05</v>
      </c>
      <c r="V11" s="43">
        <v>0.05</v>
      </c>
      <c r="W11" s="43">
        <v>0.05</v>
      </c>
      <c r="X11" s="43">
        <v>0.05</v>
      </c>
      <c r="Y11" s="43">
        <v>0.05</v>
      </c>
      <c r="Z11" s="43">
        <v>0.05</v>
      </c>
      <c r="AA11" s="41">
        <v>0.05</v>
      </c>
      <c r="AB11" s="42">
        <v>0.05</v>
      </c>
      <c r="AC11" s="43">
        <v>0.05</v>
      </c>
      <c r="AD11" s="43">
        <v>0.05</v>
      </c>
      <c r="AE11" s="43">
        <v>0.05</v>
      </c>
      <c r="AF11" s="43">
        <v>0.05</v>
      </c>
      <c r="AG11" s="43">
        <v>0.05</v>
      </c>
      <c r="AH11" s="43">
        <v>0.05</v>
      </c>
      <c r="AI11" s="43">
        <v>0.05</v>
      </c>
      <c r="AJ11" s="43">
        <v>0.05</v>
      </c>
      <c r="AK11" s="43">
        <v>0.05</v>
      </c>
      <c r="AL11" s="43">
        <v>0.05</v>
      </c>
      <c r="AM11" s="41">
        <v>0.05</v>
      </c>
      <c r="AN11" s="42">
        <v>0.05</v>
      </c>
      <c r="AO11" s="43">
        <v>0.05</v>
      </c>
      <c r="AP11" s="43">
        <v>0.05</v>
      </c>
      <c r="AQ11" s="43">
        <v>0.05</v>
      </c>
      <c r="AR11" s="43">
        <v>0.05</v>
      </c>
      <c r="AS11" s="43">
        <v>0.05</v>
      </c>
      <c r="AT11" s="43">
        <v>0.05</v>
      </c>
      <c r="AU11" s="43">
        <v>0.05</v>
      </c>
      <c r="AV11" s="43">
        <v>0.05</v>
      </c>
      <c r="AW11" s="43">
        <v>0.05</v>
      </c>
      <c r="AX11" s="43">
        <v>0.05</v>
      </c>
      <c r="AY11" s="41">
        <v>0.05</v>
      </c>
      <c r="AZ11" s="42">
        <v>0.05</v>
      </c>
      <c r="BA11" s="43">
        <v>0.05</v>
      </c>
      <c r="BB11" s="43">
        <v>0.05</v>
      </c>
      <c r="BC11" s="43">
        <v>0.05</v>
      </c>
      <c r="BD11" s="43">
        <v>0.05</v>
      </c>
      <c r="BE11" s="43">
        <v>0.05</v>
      </c>
      <c r="BF11" s="43">
        <v>0.05</v>
      </c>
      <c r="BG11" s="43">
        <v>0.05</v>
      </c>
      <c r="BH11" s="43">
        <v>0.05</v>
      </c>
      <c r="BI11" s="43">
        <v>0.05</v>
      </c>
      <c r="BJ11" s="43">
        <v>0.05</v>
      </c>
      <c r="BK11" s="41">
        <v>0.05</v>
      </c>
      <c r="BL11" s="12"/>
      <c r="BM11" s="44"/>
      <c r="BN11" s="12"/>
      <c r="BO11" s="44"/>
      <c r="BP11" s="12"/>
      <c r="BQ11" s="44"/>
      <c r="BR11" s="12"/>
      <c r="BS11" s="44"/>
      <c r="BT11" s="12"/>
      <c r="BU11" s="44"/>
      <c r="BV11" s="12"/>
      <c r="BW11" s="45"/>
      <c r="BX11" s="12"/>
      <c r="BY11" s="39"/>
      <c r="BZ11" s="39"/>
      <c r="CA11" s="39"/>
      <c r="CB11" s="39"/>
      <c r="CC11" s="39"/>
      <c r="CD11" s="39"/>
      <c r="CE11" s="12"/>
      <c r="CF11" s="12"/>
      <c r="CG11" s="12"/>
      <c r="CH11" s="12"/>
      <c r="CI11" s="12"/>
    </row>
    <row r="12" spans="1:87" ht="16" x14ac:dyDescent="0.2">
      <c r="A12" s="126"/>
      <c r="B12" s="118"/>
      <c r="C12" s="118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46"/>
      <c r="BN12" s="12"/>
      <c r="BO12" s="47"/>
      <c r="BP12" s="12"/>
      <c r="BQ12" s="47"/>
      <c r="BR12" s="12"/>
      <c r="BS12" s="47"/>
      <c r="BT12" s="12"/>
      <c r="BU12" s="47"/>
      <c r="BV12" s="12"/>
      <c r="BW12" s="12"/>
      <c r="BX12" s="12"/>
      <c r="BY12" s="39"/>
      <c r="BZ12" s="39"/>
      <c r="CA12" s="39"/>
      <c r="CB12" s="39"/>
      <c r="CC12" s="39"/>
      <c r="CD12" s="39"/>
      <c r="CE12" s="12"/>
      <c r="CF12" s="12"/>
      <c r="CG12" s="12"/>
      <c r="CH12" s="12"/>
      <c r="CI12" s="12"/>
    </row>
    <row r="13" spans="1:87" ht="17" x14ac:dyDescent="0.2">
      <c r="A13" s="48" t="s">
        <v>71</v>
      </c>
      <c r="B13" s="49" t="s">
        <v>72</v>
      </c>
      <c r="C13" s="50" t="s">
        <v>67</v>
      </c>
      <c r="D13" s="51">
        <v>0.8</v>
      </c>
      <c r="E13" s="51">
        <v>0.96</v>
      </c>
      <c r="F13" s="51">
        <v>0.99</v>
      </c>
      <c r="G13" s="51">
        <v>1</v>
      </c>
      <c r="H13" s="51">
        <v>0.98</v>
      </c>
      <c r="I13" s="51">
        <v>0.95</v>
      </c>
      <c r="J13" s="51">
        <v>0.93</v>
      </c>
      <c r="K13" s="51">
        <v>0.95</v>
      </c>
      <c r="L13" s="51">
        <v>1</v>
      </c>
      <c r="M13" s="51">
        <v>1.05</v>
      </c>
      <c r="N13" s="51">
        <v>1.08</v>
      </c>
      <c r="O13" s="51">
        <v>1.2</v>
      </c>
      <c r="P13" s="51">
        <v>0.8</v>
      </c>
      <c r="Q13" s="51">
        <v>0.96</v>
      </c>
      <c r="R13" s="51">
        <v>0.99</v>
      </c>
      <c r="S13" s="51">
        <v>1</v>
      </c>
      <c r="T13" s="51">
        <v>0.98</v>
      </c>
      <c r="U13" s="51">
        <v>0.95</v>
      </c>
      <c r="V13" s="51">
        <v>0.93</v>
      </c>
      <c r="W13" s="51">
        <v>0.95</v>
      </c>
      <c r="X13" s="51">
        <v>1</v>
      </c>
      <c r="Y13" s="51">
        <v>1.05</v>
      </c>
      <c r="Z13" s="51">
        <v>1.08</v>
      </c>
      <c r="AA13" s="51">
        <v>1.2</v>
      </c>
      <c r="AB13" s="51">
        <v>0.8</v>
      </c>
      <c r="AC13" s="51">
        <v>0.96</v>
      </c>
      <c r="AD13" s="51">
        <v>0.99</v>
      </c>
      <c r="AE13" s="51">
        <v>1</v>
      </c>
      <c r="AF13" s="51">
        <v>0.98</v>
      </c>
      <c r="AG13" s="51">
        <v>0.95</v>
      </c>
      <c r="AH13" s="51">
        <v>0.93</v>
      </c>
      <c r="AI13" s="51">
        <v>0.95</v>
      </c>
      <c r="AJ13" s="51">
        <v>1</v>
      </c>
      <c r="AK13" s="51">
        <v>1.05</v>
      </c>
      <c r="AL13" s="51">
        <v>1.08</v>
      </c>
      <c r="AM13" s="51">
        <v>1.2</v>
      </c>
      <c r="AN13" s="51">
        <v>0.8</v>
      </c>
      <c r="AO13" s="51">
        <v>0.96</v>
      </c>
      <c r="AP13" s="51">
        <v>0.99</v>
      </c>
      <c r="AQ13" s="51">
        <v>1</v>
      </c>
      <c r="AR13" s="51">
        <v>0.98</v>
      </c>
      <c r="AS13" s="51">
        <v>0.95</v>
      </c>
      <c r="AT13" s="51">
        <v>0.93</v>
      </c>
      <c r="AU13" s="51">
        <v>0.95</v>
      </c>
      <c r="AV13" s="51">
        <v>1</v>
      </c>
      <c r="AW13" s="51">
        <v>1.05</v>
      </c>
      <c r="AX13" s="51">
        <v>1.08</v>
      </c>
      <c r="AY13" s="51">
        <v>1.2</v>
      </c>
      <c r="AZ13" s="51">
        <v>0.8</v>
      </c>
      <c r="BA13" s="51">
        <v>0.96</v>
      </c>
      <c r="BB13" s="51">
        <v>0.99</v>
      </c>
      <c r="BC13" s="51">
        <v>1</v>
      </c>
      <c r="BD13" s="51">
        <v>0.98</v>
      </c>
      <c r="BE13" s="51">
        <v>0.95</v>
      </c>
      <c r="BF13" s="51">
        <v>0.93</v>
      </c>
      <c r="BG13" s="51">
        <v>0.95</v>
      </c>
      <c r="BH13" s="51">
        <v>1</v>
      </c>
      <c r="BI13" s="51">
        <v>1.05</v>
      </c>
      <c r="BJ13" s="51">
        <v>1.08</v>
      </c>
      <c r="BK13" s="52">
        <v>1.2</v>
      </c>
      <c r="BL13" s="12"/>
      <c r="BM13" s="46"/>
      <c r="BN13" s="12"/>
      <c r="BO13" s="47"/>
      <c r="BP13" s="12"/>
      <c r="BQ13" s="47"/>
      <c r="BR13" s="12"/>
      <c r="BS13" s="47"/>
      <c r="BT13" s="12"/>
      <c r="BU13" s="47"/>
      <c r="BV13" s="12"/>
      <c r="BW13" s="12"/>
      <c r="BX13" s="12"/>
      <c r="BY13" s="39"/>
      <c r="BZ13" s="39"/>
      <c r="CA13" s="39"/>
      <c r="CB13" s="39"/>
      <c r="CC13" s="39"/>
      <c r="CD13" s="39"/>
      <c r="CE13" s="12"/>
      <c r="CF13" s="12"/>
      <c r="CG13" s="12"/>
      <c r="CH13" s="12"/>
      <c r="CI13" s="12"/>
    </row>
    <row r="14" spans="1:87" ht="16" x14ac:dyDescent="0.2">
      <c r="A14" s="124"/>
      <c r="B14" s="125"/>
      <c r="C14" s="118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</row>
    <row r="15" spans="1:87" ht="16" x14ac:dyDescent="0.2">
      <c r="A15" s="118"/>
      <c r="B15" s="121" t="s">
        <v>73</v>
      </c>
      <c r="C15" s="118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12"/>
      <c r="BM15" s="20"/>
      <c r="BN15" s="12"/>
      <c r="BO15" s="20"/>
      <c r="BP15" s="12"/>
      <c r="BQ15" s="20"/>
      <c r="BR15" s="12"/>
      <c r="BS15" s="20"/>
      <c r="BT15" s="12"/>
      <c r="BU15" s="20"/>
      <c r="BV15" s="12"/>
      <c r="BW15" s="20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</row>
    <row r="16" spans="1:87" ht="16" x14ac:dyDescent="0.2">
      <c r="A16" s="118"/>
      <c r="B16" s="128"/>
      <c r="C16" s="129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</row>
    <row r="17" spans="1:87" ht="16" x14ac:dyDescent="0.2">
      <c r="A17" s="119" t="s">
        <v>74</v>
      </c>
      <c r="B17" s="35" t="s">
        <v>75</v>
      </c>
      <c r="C17" s="29" t="s">
        <v>76</v>
      </c>
      <c r="D17" s="53">
        <f t="shared" ref="D17:AI17" si="7">D18+D19</f>
        <v>13.5</v>
      </c>
      <c r="E17" s="54">
        <f t="shared" si="7"/>
        <v>16.226755617091108</v>
      </c>
      <c r="F17" s="54">
        <f t="shared" si="7"/>
        <v>16.761479030235972</v>
      </c>
      <c r="G17" s="54">
        <f t="shared" si="7"/>
        <v>16.958749470297818</v>
      </c>
      <c r="H17" s="54">
        <f>H18+H19</f>
        <v>16.647023059350374</v>
      </c>
      <c r="I17" s="54">
        <f t="shared" si="7"/>
        <v>16.164072574285139</v>
      </c>
      <c r="J17" s="54">
        <f t="shared" si="7"/>
        <v>15.849910562641991</v>
      </c>
      <c r="K17" s="54">
        <f t="shared" si="7"/>
        <v>16.217509225415203</v>
      </c>
      <c r="L17" s="54">
        <f t="shared" si="7"/>
        <v>17.099256589911175</v>
      </c>
      <c r="M17" s="54">
        <f t="shared" si="7"/>
        <v>17.983872272490402</v>
      </c>
      <c r="N17" s="54">
        <f t="shared" si="7"/>
        <v>18.528247645376677</v>
      </c>
      <c r="O17" s="55">
        <f t="shared" si="7"/>
        <v>20.620942836383474</v>
      </c>
      <c r="P17" s="53">
        <f t="shared" si="7"/>
        <v>13.770000000000008</v>
      </c>
      <c r="Q17" s="54">
        <f t="shared" si="7"/>
        <v>16.551290729432942</v>
      </c>
      <c r="R17" s="54">
        <f t="shared" si="7"/>
        <v>17.0967086108407</v>
      </c>
      <c r="S17" s="54">
        <f t="shared" si="7"/>
        <v>17.297924459703783</v>
      </c>
      <c r="T17" s="54">
        <f t="shared" si="7"/>
        <v>16.979963520537389</v>
      </c>
      <c r="U17" s="54">
        <f t="shared" si="7"/>
        <v>16.487354025770856</v>
      </c>
      <c r="V17" s="54">
        <f t="shared" si="7"/>
        <v>16.166908773894843</v>
      </c>
      <c r="W17" s="54">
        <f t="shared" si="7"/>
        <v>16.541859409923518</v>
      </c>
      <c r="X17" s="54">
        <f t="shared" si="7"/>
        <v>17.441241721709414</v>
      </c>
      <c r="Y17" s="54">
        <f t="shared" si="7"/>
        <v>18.343549717940224</v>
      </c>
      <c r="Z17" s="54">
        <f t="shared" si="7"/>
        <v>18.898812598284227</v>
      </c>
      <c r="AA17" s="55">
        <f t="shared" si="7"/>
        <v>21.033361693111161</v>
      </c>
      <c r="AB17" s="53">
        <f t="shared" si="7"/>
        <v>14.04540000000002</v>
      </c>
      <c r="AC17" s="54">
        <f t="shared" si="7"/>
        <v>16.882316544021613</v>
      </c>
      <c r="AD17" s="54">
        <f t="shared" si="7"/>
        <v>17.438642783057531</v>
      </c>
      <c r="AE17" s="54">
        <f t="shared" si="7"/>
        <v>17.643882948897872</v>
      </c>
      <c r="AF17" s="54">
        <f t="shared" si="7"/>
        <v>17.319562790948151</v>
      </c>
      <c r="AG17" s="54">
        <f t="shared" si="7"/>
        <v>16.81710110628628</v>
      </c>
      <c r="AH17" s="54">
        <f t="shared" si="7"/>
        <v>16.49024694937275</v>
      </c>
      <c r="AI17" s="54">
        <f t="shared" si="7"/>
        <v>16.872696598122001</v>
      </c>
      <c r="AJ17" s="54">
        <f t="shared" ref="AJ17:BK17" si="8">AJ18+AJ19</f>
        <v>17.790066556143614</v>
      </c>
      <c r="AK17" s="54">
        <f t="shared" si="8"/>
        <v>18.71042071229904</v>
      </c>
      <c r="AL17" s="54">
        <f t="shared" si="8"/>
        <v>19.276788850249922</v>
      </c>
      <c r="AM17" s="55">
        <f t="shared" si="8"/>
        <v>21.454028926973393</v>
      </c>
      <c r="AN17" s="53">
        <f t="shared" si="8"/>
        <v>14.326308000000029</v>
      </c>
      <c r="AO17" s="54">
        <f t="shared" si="8"/>
        <v>17.219962874902052</v>
      </c>
      <c r="AP17" s="54">
        <f t="shared" si="8"/>
        <v>17.787415638718691</v>
      </c>
      <c r="AQ17" s="54">
        <f t="shared" si="8"/>
        <v>17.996760607875842</v>
      </c>
      <c r="AR17" s="54">
        <f t="shared" si="8"/>
        <v>17.665954046767126</v>
      </c>
      <c r="AS17" s="54">
        <f t="shared" si="8"/>
        <v>17.153443128412022</v>
      </c>
      <c r="AT17" s="54">
        <f t="shared" si="8"/>
        <v>16.820051888360219</v>
      </c>
      <c r="AU17" s="54">
        <f t="shared" si="8"/>
        <v>17.210150530084455</v>
      </c>
      <c r="AV17" s="54">
        <f t="shared" si="8"/>
        <v>18.145867887266498</v>
      </c>
      <c r="AW17" s="54">
        <f t="shared" si="8"/>
        <v>19.084629126545032</v>
      </c>
      <c r="AX17" s="54">
        <f t="shared" si="8"/>
        <v>19.662324627254932</v>
      </c>
      <c r="AY17" s="55">
        <f t="shared" si="8"/>
        <v>21.883109505512881</v>
      </c>
      <c r="AZ17" s="53">
        <f t="shared" si="8"/>
        <v>14.612834160000041</v>
      </c>
      <c r="BA17" s="54">
        <f t="shared" si="8"/>
        <v>17.56436213240011</v>
      </c>
      <c r="BB17" s="54">
        <f t="shared" si="8"/>
        <v>18.143163951493079</v>
      </c>
      <c r="BC17" s="54">
        <f t="shared" si="8"/>
        <v>18.356695820033373</v>
      </c>
      <c r="BD17" s="54">
        <f t="shared" si="8"/>
        <v>18.01927312770248</v>
      </c>
      <c r="BE17" s="54">
        <f t="shared" si="8"/>
        <v>17.496511990980274</v>
      </c>
      <c r="BF17" s="54">
        <f t="shared" si="8"/>
        <v>17.156452926127432</v>
      </c>
      <c r="BG17" s="54">
        <f t="shared" si="8"/>
        <v>17.554353540686154</v>
      </c>
      <c r="BH17" s="54">
        <f t="shared" si="8"/>
        <v>18.50878524501184</v>
      </c>
      <c r="BI17" s="54">
        <f t="shared" si="8"/>
        <v>19.466321709075949</v>
      </c>
      <c r="BJ17" s="54">
        <f t="shared" si="8"/>
        <v>20.055571119800046</v>
      </c>
      <c r="BK17" s="55">
        <f t="shared" si="8"/>
        <v>22.320771695623151</v>
      </c>
      <c r="BL17" s="12"/>
      <c r="BM17" s="56">
        <f>AVERAGEIFS($D17:$BK17,$D$2:$BK$2,BM$2)</f>
        <v>16.879818240289943</v>
      </c>
      <c r="BN17" s="57"/>
      <c r="BO17" s="56">
        <f>AVERAGEIFS($D17:$BK17,$D$2:$BK$2,BO$2)</f>
        <v>17.217414605095755</v>
      </c>
      <c r="BP17" s="57"/>
      <c r="BQ17" s="56">
        <f>AVERAGEIFS($D17:$BK17,$D$2:$BK$2,BQ$2)</f>
        <v>17.561762897197681</v>
      </c>
      <c r="BR17" s="57"/>
      <c r="BS17" s="56">
        <f>AVERAGEIFS($D17:$BK17,$D$2:$BK$2,BS$2)</f>
        <v>17.912998155141651</v>
      </c>
      <c r="BT17" s="57"/>
      <c r="BU17" s="56">
        <f>AVERAGEIFS($D17:$BK17,$D$2:$BK$2,BU$2)</f>
        <v>18.271258118244493</v>
      </c>
      <c r="BV17" s="57"/>
      <c r="BW17" s="56">
        <f>AVERAGE(BM17:BU17)</f>
        <v>17.568650403193907</v>
      </c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</row>
    <row r="18" spans="1:87" ht="16" x14ac:dyDescent="0.2">
      <c r="A18" s="120"/>
      <c r="B18" s="58" t="s">
        <v>77</v>
      </c>
      <c r="C18" s="29"/>
      <c r="D18" s="30">
        <v>9.4499999999999993</v>
      </c>
      <c r="E18" s="31">
        <f t="shared" ref="E18:AJ18" si="9">D18*POWER(1+E$9,1/12)*(E$13/D$13)</f>
        <v>11.358728931963775</v>
      </c>
      <c r="F18" s="31">
        <f t="shared" si="9"/>
        <v>11.733035321165181</v>
      </c>
      <c r="G18" s="31">
        <f>F18*POWER(1+G$9,1/12)*(G$13/F$13)</f>
        <v>11.871124629208472</v>
      </c>
      <c r="H18" s="31">
        <f t="shared" si="9"/>
        <v>11.65291614154526</v>
      </c>
      <c r="I18" s="31">
        <f t="shared" si="9"/>
        <v>11.314850801999597</v>
      </c>
      <c r="J18" s="31">
        <f t="shared" si="9"/>
        <v>11.094937393849392</v>
      </c>
      <c r="K18" s="31">
        <f t="shared" si="9"/>
        <v>11.352256457790642</v>
      </c>
      <c r="L18" s="31">
        <f t="shared" si="9"/>
        <v>11.969479612937821</v>
      </c>
      <c r="M18" s="31">
        <f t="shared" si="9"/>
        <v>12.588710590743279</v>
      </c>
      <c r="N18" s="31">
        <f t="shared" si="9"/>
        <v>12.969773351763672</v>
      </c>
      <c r="O18" s="32">
        <f t="shared" si="9"/>
        <v>14.43465998546843</v>
      </c>
      <c r="P18" s="30">
        <f t="shared" si="9"/>
        <v>9.6390000000000047</v>
      </c>
      <c r="Q18" s="31">
        <f t="shared" si="9"/>
        <v>11.585903510603057</v>
      </c>
      <c r="R18" s="31">
        <f t="shared" si="9"/>
        <v>11.96769602758849</v>
      </c>
      <c r="S18" s="31">
        <f t="shared" si="9"/>
        <v>12.108547121792647</v>
      </c>
      <c r="T18" s="31">
        <f t="shared" si="9"/>
        <v>11.88597446437617</v>
      </c>
      <c r="U18" s="31">
        <f t="shared" si="9"/>
        <v>11.541147818039596</v>
      </c>
      <c r="V18" s="31">
        <f t="shared" si="9"/>
        <v>11.316836141726387</v>
      </c>
      <c r="W18" s="31">
        <f t="shared" si="9"/>
        <v>11.579301586946462</v>
      </c>
      <c r="X18" s="31">
        <f t="shared" si="9"/>
        <v>12.208869205196587</v>
      </c>
      <c r="Y18" s="31">
        <f t="shared" si="9"/>
        <v>12.840484802558155</v>
      </c>
      <c r="Z18" s="31">
        <f t="shared" si="9"/>
        <v>13.229168818798957</v>
      </c>
      <c r="AA18" s="32">
        <f t="shared" si="9"/>
        <v>14.72335318517781</v>
      </c>
      <c r="AB18" s="30">
        <f t="shared" si="9"/>
        <v>9.8317800000000126</v>
      </c>
      <c r="AC18" s="31">
        <f t="shared" si="9"/>
        <v>11.817621580815127</v>
      </c>
      <c r="AD18" s="31">
        <f t="shared" si="9"/>
        <v>12.20704994814027</v>
      </c>
      <c r="AE18" s="31">
        <f t="shared" si="9"/>
        <v>12.350718064228509</v>
      </c>
      <c r="AF18" s="31">
        <f t="shared" si="9"/>
        <v>12.123693953663704</v>
      </c>
      <c r="AG18" s="31">
        <f t="shared" si="9"/>
        <v>11.771970774400396</v>
      </c>
      <c r="AH18" s="31">
        <f t="shared" si="9"/>
        <v>11.543172864560923</v>
      </c>
      <c r="AI18" s="31">
        <f t="shared" si="9"/>
        <v>11.810887618685399</v>
      </c>
      <c r="AJ18" s="31">
        <f t="shared" si="9"/>
        <v>12.453046589300527</v>
      </c>
      <c r="AK18" s="31">
        <f t="shared" ref="AK18:BK18" si="10">AJ18*POWER(1+AK$9,1/12)*(AK$13/AJ$13)</f>
        <v>13.097294498609324</v>
      </c>
      <c r="AL18" s="31">
        <f t="shared" si="10"/>
        <v>13.493752195174942</v>
      </c>
      <c r="AM18" s="32">
        <f t="shared" si="10"/>
        <v>15.017820248881373</v>
      </c>
      <c r="AN18" s="30">
        <f t="shared" si="10"/>
        <v>10.028415600000018</v>
      </c>
      <c r="AO18" s="31">
        <f t="shared" si="10"/>
        <v>12.053974012431436</v>
      </c>
      <c r="AP18" s="31">
        <f t="shared" si="10"/>
        <v>12.451190947103083</v>
      </c>
      <c r="AQ18" s="31">
        <f t="shared" si="10"/>
        <v>12.597732425513088</v>
      </c>
      <c r="AR18" s="31">
        <f t="shared" si="10"/>
        <v>12.366167832736986</v>
      </c>
      <c r="AS18" s="31">
        <f t="shared" si="10"/>
        <v>12.007410189888413</v>
      </c>
      <c r="AT18" s="31">
        <f t="shared" si="10"/>
        <v>11.774036321852151</v>
      </c>
      <c r="AU18" s="31">
        <f t="shared" si="10"/>
        <v>12.047105371059118</v>
      </c>
      <c r="AV18" s="31">
        <f t="shared" si="10"/>
        <v>12.702107521086548</v>
      </c>
      <c r="AW18" s="31">
        <f t="shared" si="10"/>
        <v>13.359240388581522</v>
      </c>
      <c r="AX18" s="31">
        <f t="shared" si="10"/>
        <v>13.763627239078453</v>
      </c>
      <c r="AY18" s="32">
        <f t="shared" si="10"/>
        <v>15.318176653859014</v>
      </c>
      <c r="AZ18" s="30">
        <f t="shared" si="10"/>
        <v>10.228983912000027</v>
      </c>
      <c r="BA18" s="31">
        <f t="shared" si="10"/>
        <v>12.295053492680076</v>
      </c>
      <c r="BB18" s="31">
        <f t="shared" si="10"/>
        <v>12.700214766045153</v>
      </c>
      <c r="BC18" s="31">
        <f t="shared" si="10"/>
        <v>12.849687074023359</v>
      </c>
      <c r="BD18" s="31">
        <f t="shared" si="10"/>
        <v>12.613491189391736</v>
      </c>
      <c r="BE18" s="31">
        <f t="shared" si="10"/>
        <v>12.247558393686191</v>
      </c>
      <c r="BF18" s="31">
        <f t="shared" si="10"/>
        <v>12.009517048289203</v>
      </c>
      <c r="BG18" s="31">
        <f t="shared" si="10"/>
        <v>12.288047478480308</v>
      </c>
      <c r="BH18" s="31">
        <f t="shared" si="10"/>
        <v>12.956149671508287</v>
      </c>
      <c r="BI18" s="31">
        <f t="shared" si="10"/>
        <v>13.626425196353162</v>
      </c>
      <c r="BJ18" s="31">
        <f t="shared" si="10"/>
        <v>14.038899783860032</v>
      </c>
      <c r="BK18" s="32">
        <f t="shared" si="10"/>
        <v>15.624540186936205</v>
      </c>
      <c r="BL18" s="12"/>
      <c r="BM18" s="37">
        <f>AVERAGEIFS($D18:$BK18,$D$2:$BK$2,BM$2)</f>
        <v>11.81587276820296</v>
      </c>
      <c r="BN18" s="12"/>
      <c r="BO18" s="37">
        <f>AVERAGEIFS($D18:$BK18,$D$2:$BK$2,BO$2)</f>
        <v>12.052190223567026</v>
      </c>
      <c r="BP18" s="12"/>
      <c r="BQ18" s="37">
        <f>AVERAGEIFS($D18:$BK18,$D$2:$BK$2,BQ$2)</f>
        <v>12.293234028038377</v>
      </c>
      <c r="BR18" s="12"/>
      <c r="BS18" s="37">
        <f>AVERAGEIFS($D18:$BK18,$D$2:$BK$2,BS$2)</f>
        <v>12.539098708599154</v>
      </c>
      <c r="BT18" s="12"/>
      <c r="BU18" s="37">
        <f>AVERAGEIFS($D18:$BK18,$D$2:$BK$2,BU$2)</f>
        <v>12.789880682771146</v>
      </c>
      <c r="BV18" s="12"/>
      <c r="BW18" s="37">
        <f>AVERAGE(BM18:BU18)</f>
        <v>12.298055282235733</v>
      </c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</row>
    <row r="19" spans="1:87" ht="16" x14ac:dyDescent="0.2">
      <c r="A19" s="120"/>
      <c r="B19" s="58" t="s">
        <v>78</v>
      </c>
      <c r="C19" s="29"/>
      <c r="D19" s="30">
        <v>4.05</v>
      </c>
      <c r="E19" s="31">
        <f t="shared" ref="E19:AJ19" si="11">D19*POWER(1+E$9,1/12)*(E$13/D$13)</f>
        <v>4.8680266851273322</v>
      </c>
      <c r="F19" s="31">
        <f t="shared" si="11"/>
        <v>5.0284437090707916</v>
      </c>
      <c r="G19" s="31">
        <f t="shared" si="11"/>
        <v>5.0876248410893457</v>
      </c>
      <c r="H19" s="31">
        <f t="shared" si="11"/>
        <v>4.9941069178051123</v>
      </c>
      <c r="I19" s="31">
        <f t="shared" si="11"/>
        <v>4.8492217722855431</v>
      </c>
      <c r="J19" s="31">
        <f t="shared" si="11"/>
        <v>4.7549731687925982</v>
      </c>
      <c r="K19" s="31">
        <f t="shared" si="11"/>
        <v>4.865252767624562</v>
      </c>
      <c r="L19" s="31">
        <f t="shared" si="11"/>
        <v>5.1297769769733543</v>
      </c>
      <c r="M19" s="31">
        <f t="shared" si="11"/>
        <v>5.3951616817471217</v>
      </c>
      <c r="N19" s="31">
        <f t="shared" si="11"/>
        <v>5.5584742936130045</v>
      </c>
      <c r="O19" s="32">
        <f t="shared" si="11"/>
        <v>6.1862828509150436</v>
      </c>
      <c r="P19" s="30">
        <f t="shared" si="11"/>
        <v>4.1310000000000038</v>
      </c>
      <c r="Q19" s="31">
        <f t="shared" si="11"/>
        <v>4.9653872188298838</v>
      </c>
      <c r="R19" s="31">
        <f t="shared" si="11"/>
        <v>5.1290125832522122</v>
      </c>
      <c r="S19" s="31">
        <f t="shared" si="11"/>
        <v>5.1893773379111368</v>
      </c>
      <c r="T19" s="31">
        <f t="shared" si="11"/>
        <v>5.0939890561612184</v>
      </c>
      <c r="U19" s="31">
        <f t="shared" si="11"/>
        <v>4.9462062077312581</v>
      </c>
      <c r="V19" s="31">
        <f t="shared" si="11"/>
        <v>4.8500726321684544</v>
      </c>
      <c r="W19" s="31">
        <f t="shared" si="11"/>
        <v>4.9625578229770575</v>
      </c>
      <c r="X19" s="31">
        <f t="shared" si="11"/>
        <v>5.2323725165128261</v>
      </c>
      <c r="Y19" s="31">
        <f t="shared" si="11"/>
        <v>5.5030649153820699</v>
      </c>
      <c r="Z19" s="31">
        <f t="shared" si="11"/>
        <v>5.6696437794852708</v>
      </c>
      <c r="AA19" s="32">
        <f t="shared" si="11"/>
        <v>6.3100085079333503</v>
      </c>
      <c r="AB19" s="30">
        <f t="shared" si="11"/>
        <v>4.2136200000000077</v>
      </c>
      <c r="AC19" s="31">
        <f t="shared" si="11"/>
        <v>5.0646949632064855</v>
      </c>
      <c r="AD19" s="31">
        <f t="shared" si="11"/>
        <v>5.2315928349172607</v>
      </c>
      <c r="AE19" s="31">
        <f t="shared" si="11"/>
        <v>5.2931648846693635</v>
      </c>
      <c r="AF19" s="31">
        <f t="shared" si="11"/>
        <v>5.195868837284447</v>
      </c>
      <c r="AG19" s="31">
        <f t="shared" si="11"/>
        <v>5.0451303318858862</v>
      </c>
      <c r="AH19" s="31">
        <f t="shared" si="11"/>
        <v>4.9470740848118266</v>
      </c>
      <c r="AI19" s="31">
        <f t="shared" si="11"/>
        <v>5.061808979436603</v>
      </c>
      <c r="AJ19" s="31">
        <f t="shared" si="11"/>
        <v>5.3370199668430862</v>
      </c>
      <c r="AK19" s="31">
        <f t="shared" ref="AK19:BK19" si="12">AJ19*POWER(1+AK$9,1/12)*(AK$13/AJ$13)</f>
        <v>5.6131262136897142</v>
      </c>
      <c r="AL19" s="31">
        <f t="shared" si="12"/>
        <v>5.7830366550749783</v>
      </c>
      <c r="AM19" s="32">
        <f t="shared" si="12"/>
        <v>6.4362086780920205</v>
      </c>
      <c r="AN19" s="30">
        <f t="shared" si="12"/>
        <v>4.29789240000001</v>
      </c>
      <c r="AO19" s="31">
        <f t="shared" si="12"/>
        <v>5.1659888624706172</v>
      </c>
      <c r="AP19" s="31">
        <f t="shared" si="12"/>
        <v>5.336224691615608</v>
      </c>
      <c r="AQ19" s="31">
        <f t="shared" si="12"/>
        <v>5.3990281823627537</v>
      </c>
      <c r="AR19" s="31">
        <f t="shared" si="12"/>
        <v>5.2997862140301386</v>
      </c>
      <c r="AS19" s="31">
        <f t="shared" si="12"/>
        <v>5.1460329385236072</v>
      </c>
      <c r="AT19" s="31">
        <f t="shared" si="12"/>
        <v>5.0460155665080668</v>
      </c>
      <c r="AU19" s="31">
        <f t="shared" si="12"/>
        <v>5.1630451590253381</v>
      </c>
      <c r="AV19" s="31">
        <f t="shared" si="12"/>
        <v>5.4437603661799505</v>
      </c>
      <c r="AW19" s="31">
        <f t="shared" si="12"/>
        <v>5.7253887379635113</v>
      </c>
      <c r="AX19" s="31">
        <f t="shared" si="12"/>
        <v>5.8986973881764815</v>
      </c>
      <c r="AY19" s="32">
        <f t="shared" si="12"/>
        <v>6.5649328516538654</v>
      </c>
      <c r="AZ19" s="30">
        <f t="shared" si="12"/>
        <v>4.3838502480000132</v>
      </c>
      <c r="BA19" s="31">
        <f t="shared" si="12"/>
        <v>5.2693086397200339</v>
      </c>
      <c r="BB19" s="31">
        <f t="shared" si="12"/>
        <v>5.4429491854479242</v>
      </c>
      <c r="BC19" s="31">
        <f t="shared" si="12"/>
        <v>5.5070087460100119</v>
      </c>
      <c r="BD19" s="31">
        <f t="shared" si="12"/>
        <v>5.4057819383107439</v>
      </c>
      <c r="BE19" s="31">
        <f t="shared" si="12"/>
        <v>5.248953597294082</v>
      </c>
      <c r="BF19" s="31">
        <f t="shared" si="12"/>
        <v>5.1469358778382297</v>
      </c>
      <c r="BG19" s="31">
        <f t="shared" si="12"/>
        <v>5.2663060622058468</v>
      </c>
      <c r="BH19" s="31">
        <f t="shared" si="12"/>
        <v>5.5526355735035526</v>
      </c>
      <c r="BI19" s="31">
        <f t="shared" si="12"/>
        <v>5.8398965127227846</v>
      </c>
      <c r="BJ19" s="31">
        <f t="shared" si="12"/>
        <v>6.0166713359400141</v>
      </c>
      <c r="BK19" s="32">
        <f t="shared" si="12"/>
        <v>6.6962315086869451</v>
      </c>
      <c r="BL19" s="12"/>
      <c r="BM19" s="37">
        <f>AVERAGEIFS($D19:$BK19,$D$2:$BK$2,BM$2)</f>
        <v>5.0639454720869832</v>
      </c>
      <c r="BN19" s="12"/>
      <c r="BO19" s="37">
        <f>AVERAGEIFS($D19:$BK19,$D$2:$BK$2,BO$2)</f>
        <v>5.165224381528728</v>
      </c>
      <c r="BP19" s="12"/>
      <c r="BQ19" s="37">
        <f>AVERAGEIFS($D19:$BK19,$D$2:$BK$2,BQ$2)</f>
        <v>5.2685288691593071</v>
      </c>
      <c r="BR19" s="12"/>
      <c r="BS19" s="37">
        <f>AVERAGEIFS($D19:$BK19,$D$2:$BK$2,BS$2)</f>
        <v>5.3738994465424961</v>
      </c>
      <c r="BT19" s="12"/>
      <c r="BU19" s="37">
        <f>AVERAGEIFS($D19:$BK19,$D$2:$BK$2,BU$2)</f>
        <v>5.4813774354733491</v>
      </c>
      <c r="BV19" s="12"/>
      <c r="BW19" s="37">
        <f>AVERAGE(BM19:BU19)</f>
        <v>5.2705951209581725</v>
      </c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</row>
    <row r="20" spans="1:87" ht="16" x14ac:dyDescent="0.2">
      <c r="A20" s="120"/>
      <c r="B20" s="35"/>
      <c r="C20" s="29"/>
      <c r="D20" s="3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29"/>
      <c r="P20" s="36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29"/>
      <c r="AB20" s="36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29"/>
      <c r="AN20" s="36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29"/>
      <c r="AZ20" s="36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29"/>
      <c r="BL20" s="12"/>
      <c r="BM20" s="38"/>
      <c r="BN20" s="12"/>
      <c r="BO20" s="38"/>
      <c r="BP20" s="12"/>
      <c r="BQ20" s="38"/>
      <c r="BR20" s="12"/>
      <c r="BS20" s="38"/>
      <c r="BT20" s="12"/>
      <c r="BU20" s="38"/>
      <c r="BV20" s="12"/>
      <c r="BW20" s="38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</row>
    <row r="21" spans="1:87" ht="16" x14ac:dyDescent="0.2">
      <c r="A21" s="120"/>
      <c r="B21" s="59" t="s">
        <v>79</v>
      </c>
      <c r="C21" s="29" t="s">
        <v>67</v>
      </c>
      <c r="D21" s="60">
        <f t="shared" ref="D21:AI21" si="13">D22*(D18/(D18+D19))+D23*(D19/(D19+D18))</f>
        <v>0.17799999999999999</v>
      </c>
      <c r="E21" s="61">
        <f t="shared" si="13"/>
        <v>0.17799999999999999</v>
      </c>
      <c r="F21" s="61">
        <f t="shared" si="13"/>
        <v>0.17800000000000002</v>
      </c>
      <c r="G21" s="61">
        <f t="shared" si="13"/>
        <v>0.17799999999999999</v>
      </c>
      <c r="H21" s="61">
        <f>H22*(H18/(H18+H19))+H23*(H19/(H19+H18))</f>
        <v>0.17799999999999999</v>
      </c>
      <c r="I21" s="61">
        <f t="shared" si="13"/>
        <v>0.17799999999999999</v>
      </c>
      <c r="J21" s="61">
        <f t="shared" si="13"/>
        <v>0.17799999999999999</v>
      </c>
      <c r="K21" s="61">
        <f t="shared" si="13"/>
        <v>0.17799999999999999</v>
      </c>
      <c r="L21" s="61">
        <f t="shared" si="13"/>
        <v>0.17799999999999999</v>
      </c>
      <c r="M21" s="61">
        <f t="shared" si="13"/>
        <v>0.17799999999999999</v>
      </c>
      <c r="N21" s="61">
        <f t="shared" si="13"/>
        <v>0.17799999999999999</v>
      </c>
      <c r="O21" s="62">
        <f t="shared" si="13"/>
        <v>0.17799999999999999</v>
      </c>
      <c r="P21" s="60">
        <f t="shared" si="13"/>
        <v>0.17799999999999999</v>
      </c>
      <c r="Q21" s="61">
        <f t="shared" si="13"/>
        <v>0.17799999999999999</v>
      </c>
      <c r="R21" s="61">
        <f t="shared" si="13"/>
        <v>0.17799999999999999</v>
      </c>
      <c r="S21" s="61">
        <f t="shared" si="13"/>
        <v>0.17799999999999999</v>
      </c>
      <c r="T21" s="61">
        <f t="shared" si="13"/>
        <v>0.17799999999999999</v>
      </c>
      <c r="U21" s="61">
        <f t="shared" si="13"/>
        <v>0.17799999999999999</v>
      </c>
      <c r="V21" s="61">
        <f t="shared" si="13"/>
        <v>0.17799999999999999</v>
      </c>
      <c r="W21" s="61">
        <f t="shared" si="13"/>
        <v>0.17800000000000002</v>
      </c>
      <c r="X21" s="61">
        <f t="shared" si="13"/>
        <v>0.17799999999999999</v>
      </c>
      <c r="Y21" s="61">
        <f t="shared" si="13"/>
        <v>0.17800000000000002</v>
      </c>
      <c r="Z21" s="61">
        <f t="shared" si="13"/>
        <v>0.17800000000000002</v>
      </c>
      <c r="AA21" s="62">
        <f t="shared" si="13"/>
        <v>0.17799999999999999</v>
      </c>
      <c r="AB21" s="60">
        <f t="shared" si="13"/>
        <v>0.17799999999999999</v>
      </c>
      <c r="AC21" s="61">
        <f t="shared" si="13"/>
        <v>0.17799999999999999</v>
      </c>
      <c r="AD21" s="61">
        <f t="shared" si="13"/>
        <v>0.17799999999999999</v>
      </c>
      <c r="AE21" s="61">
        <f t="shared" si="13"/>
        <v>0.17799999999999999</v>
      </c>
      <c r="AF21" s="61">
        <f t="shared" si="13"/>
        <v>0.17799999999999999</v>
      </c>
      <c r="AG21" s="61">
        <f t="shared" si="13"/>
        <v>0.17799999999999999</v>
      </c>
      <c r="AH21" s="61">
        <f t="shared" si="13"/>
        <v>0.17799999999999999</v>
      </c>
      <c r="AI21" s="61">
        <f t="shared" si="13"/>
        <v>0.17799999999999999</v>
      </c>
      <c r="AJ21" s="61">
        <f t="shared" ref="AJ21:BK21" si="14">AJ22*(AJ18/(AJ18+AJ19))+AJ23*(AJ19/(AJ19+AJ18))</f>
        <v>0.17799999999999999</v>
      </c>
      <c r="AK21" s="61">
        <f t="shared" si="14"/>
        <v>0.17799999999999999</v>
      </c>
      <c r="AL21" s="61">
        <f t="shared" si="14"/>
        <v>0.17799999999999999</v>
      </c>
      <c r="AM21" s="62">
        <f t="shared" si="14"/>
        <v>0.17799999999999999</v>
      </c>
      <c r="AN21" s="60">
        <f t="shared" si="14"/>
        <v>0.17799999999999999</v>
      </c>
      <c r="AO21" s="61">
        <f t="shared" si="14"/>
        <v>0.17799999999999999</v>
      </c>
      <c r="AP21" s="61">
        <f t="shared" si="14"/>
        <v>0.17799999999999999</v>
      </c>
      <c r="AQ21" s="61">
        <f t="shared" si="14"/>
        <v>0.17799999999999999</v>
      </c>
      <c r="AR21" s="61">
        <f t="shared" si="14"/>
        <v>0.17799999999999999</v>
      </c>
      <c r="AS21" s="61">
        <f t="shared" si="14"/>
        <v>0.17799999999999999</v>
      </c>
      <c r="AT21" s="61">
        <f t="shared" si="14"/>
        <v>0.17799999999999999</v>
      </c>
      <c r="AU21" s="61">
        <f t="shared" si="14"/>
        <v>0.17799999999999999</v>
      </c>
      <c r="AV21" s="61">
        <f t="shared" si="14"/>
        <v>0.17799999999999999</v>
      </c>
      <c r="AW21" s="61">
        <f t="shared" si="14"/>
        <v>0.17799999999999999</v>
      </c>
      <c r="AX21" s="61">
        <f t="shared" si="14"/>
        <v>0.17799999999999999</v>
      </c>
      <c r="AY21" s="62">
        <f t="shared" si="14"/>
        <v>0.17799999999999999</v>
      </c>
      <c r="AZ21" s="60">
        <f t="shared" si="14"/>
        <v>0.17799999999999999</v>
      </c>
      <c r="BA21" s="61">
        <f t="shared" si="14"/>
        <v>0.17799999999999999</v>
      </c>
      <c r="BB21" s="61">
        <f t="shared" si="14"/>
        <v>0.17799999999999999</v>
      </c>
      <c r="BC21" s="61">
        <f t="shared" si="14"/>
        <v>0.17799999999999999</v>
      </c>
      <c r="BD21" s="61">
        <f t="shared" si="14"/>
        <v>0.17799999999999999</v>
      </c>
      <c r="BE21" s="61">
        <f t="shared" si="14"/>
        <v>0.17799999999999999</v>
      </c>
      <c r="BF21" s="61">
        <f t="shared" si="14"/>
        <v>0.17799999999999999</v>
      </c>
      <c r="BG21" s="61">
        <f t="shared" si="14"/>
        <v>0.17800000000000005</v>
      </c>
      <c r="BH21" s="61">
        <f t="shared" si="14"/>
        <v>0.17799999999999999</v>
      </c>
      <c r="BI21" s="61">
        <f t="shared" si="14"/>
        <v>0.17799999999999999</v>
      </c>
      <c r="BJ21" s="61">
        <f t="shared" si="14"/>
        <v>0.17799999999999999</v>
      </c>
      <c r="BK21" s="62">
        <f t="shared" si="14"/>
        <v>0.17799999999999999</v>
      </c>
      <c r="BL21" s="12"/>
      <c r="BM21" s="63">
        <f>AVERAGEIFS($D21:$BK21,$D$2:$BK$2,BM$2)</f>
        <v>0.17799999999999996</v>
      </c>
      <c r="BN21" s="57"/>
      <c r="BO21" s="63">
        <v>0.29499999999999998</v>
      </c>
      <c r="BP21" s="57"/>
      <c r="BQ21" s="63">
        <v>0.29899999999999999</v>
      </c>
      <c r="BR21" s="57"/>
      <c r="BS21" s="63">
        <v>0.29899999999999999</v>
      </c>
      <c r="BT21" s="57"/>
      <c r="BU21" s="63">
        <v>0.29899999999999999</v>
      </c>
      <c r="BV21" s="57"/>
      <c r="BW21" s="63">
        <f>AVERAGE(BM21:BU21)</f>
        <v>0.27399999999999997</v>
      </c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</row>
    <row r="22" spans="1:87" ht="16" x14ac:dyDescent="0.2">
      <c r="A22" s="120"/>
      <c r="B22" s="58" t="s">
        <v>77</v>
      </c>
      <c r="C22" s="29"/>
      <c r="D22" s="64">
        <v>0.16</v>
      </c>
      <c r="E22" s="65">
        <v>0.16</v>
      </c>
      <c r="F22" s="65">
        <v>0.16</v>
      </c>
      <c r="G22" s="65">
        <v>0.16</v>
      </c>
      <c r="H22" s="65">
        <v>0.16</v>
      </c>
      <c r="I22" s="65">
        <v>0.16</v>
      </c>
      <c r="J22" s="65">
        <v>0.16</v>
      </c>
      <c r="K22" s="65">
        <v>0.16</v>
      </c>
      <c r="L22" s="65">
        <v>0.16</v>
      </c>
      <c r="M22" s="65">
        <v>0.16</v>
      </c>
      <c r="N22" s="65">
        <v>0.16</v>
      </c>
      <c r="O22" s="66">
        <v>0.16</v>
      </c>
      <c r="P22" s="64">
        <v>0.16</v>
      </c>
      <c r="Q22" s="65">
        <v>0.16</v>
      </c>
      <c r="R22" s="65">
        <v>0.16</v>
      </c>
      <c r="S22" s="65">
        <v>0.16</v>
      </c>
      <c r="T22" s="65">
        <v>0.16</v>
      </c>
      <c r="U22" s="65">
        <v>0.16</v>
      </c>
      <c r="V22" s="65">
        <v>0.16</v>
      </c>
      <c r="W22" s="65">
        <v>0.16</v>
      </c>
      <c r="X22" s="65">
        <v>0.16</v>
      </c>
      <c r="Y22" s="65">
        <v>0.16</v>
      </c>
      <c r="Z22" s="65">
        <v>0.16</v>
      </c>
      <c r="AA22" s="66">
        <v>0.16</v>
      </c>
      <c r="AB22" s="64">
        <v>0.16</v>
      </c>
      <c r="AC22" s="65">
        <v>0.16</v>
      </c>
      <c r="AD22" s="65">
        <v>0.16</v>
      </c>
      <c r="AE22" s="65">
        <v>0.16</v>
      </c>
      <c r="AF22" s="65">
        <v>0.16</v>
      </c>
      <c r="AG22" s="65">
        <v>0.16</v>
      </c>
      <c r="AH22" s="65">
        <v>0.16</v>
      </c>
      <c r="AI22" s="65">
        <v>0.16</v>
      </c>
      <c r="AJ22" s="65">
        <v>0.16</v>
      </c>
      <c r="AK22" s="65">
        <v>0.16</v>
      </c>
      <c r="AL22" s="65">
        <v>0.16</v>
      </c>
      <c r="AM22" s="66">
        <v>0.16</v>
      </c>
      <c r="AN22" s="64">
        <v>0.16</v>
      </c>
      <c r="AO22" s="65">
        <v>0.16</v>
      </c>
      <c r="AP22" s="65">
        <v>0.16</v>
      </c>
      <c r="AQ22" s="65">
        <v>0.16</v>
      </c>
      <c r="AR22" s="65">
        <v>0.16</v>
      </c>
      <c r="AS22" s="65">
        <v>0.16</v>
      </c>
      <c r="AT22" s="65">
        <v>0.16</v>
      </c>
      <c r="AU22" s="65">
        <v>0.16</v>
      </c>
      <c r="AV22" s="65">
        <v>0.16</v>
      </c>
      <c r="AW22" s="65">
        <v>0.16</v>
      </c>
      <c r="AX22" s="65">
        <v>0.16</v>
      </c>
      <c r="AY22" s="66">
        <v>0.16</v>
      </c>
      <c r="AZ22" s="64">
        <v>0.16</v>
      </c>
      <c r="BA22" s="65">
        <v>0.16</v>
      </c>
      <c r="BB22" s="65">
        <v>0.16</v>
      </c>
      <c r="BC22" s="65">
        <v>0.16</v>
      </c>
      <c r="BD22" s="65">
        <v>0.16</v>
      </c>
      <c r="BE22" s="65">
        <v>0.16</v>
      </c>
      <c r="BF22" s="65">
        <v>0.16</v>
      </c>
      <c r="BG22" s="65">
        <v>0.16</v>
      </c>
      <c r="BH22" s="65">
        <v>0.16</v>
      </c>
      <c r="BI22" s="65">
        <v>0.16</v>
      </c>
      <c r="BJ22" s="65">
        <v>0.16</v>
      </c>
      <c r="BK22" s="66">
        <v>0.16</v>
      </c>
      <c r="BL22" s="12"/>
      <c r="BM22" s="67">
        <f>AVERAGEIFS($D22:$BK22,$D$2:$BK$2,BM$2)</f>
        <v>0.15999999999999998</v>
      </c>
      <c r="BN22" s="12"/>
      <c r="BO22" s="67">
        <v>0.30099999999999999</v>
      </c>
      <c r="BP22" s="12"/>
      <c r="BQ22" s="67">
        <v>0.30499999999999999</v>
      </c>
      <c r="BR22" s="12"/>
      <c r="BS22" s="67">
        <v>0.30499999999999999</v>
      </c>
      <c r="BT22" s="12"/>
      <c r="BU22" s="67">
        <v>0.30499999999999999</v>
      </c>
      <c r="BV22" s="12"/>
      <c r="BW22" s="67">
        <f>AVERAGE(BM22:BU22)</f>
        <v>0.2752</v>
      </c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</row>
    <row r="23" spans="1:87" ht="16" x14ac:dyDescent="0.2">
      <c r="A23" s="120"/>
      <c r="B23" s="58" t="s">
        <v>78</v>
      </c>
      <c r="C23" s="29"/>
      <c r="D23" s="64">
        <v>0.22</v>
      </c>
      <c r="E23" s="65">
        <v>0.22</v>
      </c>
      <c r="F23" s="65">
        <v>0.22</v>
      </c>
      <c r="G23" s="65">
        <v>0.22</v>
      </c>
      <c r="H23" s="65">
        <v>0.22</v>
      </c>
      <c r="I23" s="65">
        <v>0.22</v>
      </c>
      <c r="J23" s="65">
        <v>0.22</v>
      </c>
      <c r="K23" s="65">
        <v>0.22</v>
      </c>
      <c r="L23" s="65">
        <v>0.22</v>
      </c>
      <c r="M23" s="65">
        <v>0.22</v>
      </c>
      <c r="N23" s="65">
        <v>0.22</v>
      </c>
      <c r="O23" s="66">
        <v>0.22</v>
      </c>
      <c r="P23" s="64">
        <v>0.22</v>
      </c>
      <c r="Q23" s="65">
        <v>0.22</v>
      </c>
      <c r="R23" s="65">
        <v>0.22</v>
      </c>
      <c r="S23" s="65">
        <v>0.22</v>
      </c>
      <c r="T23" s="65">
        <v>0.22</v>
      </c>
      <c r="U23" s="65">
        <v>0.22</v>
      </c>
      <c r="V23" s="65">
        <v>0.22</v>
      </c>
      <c r="W23" s="65">
        <v>0.22</v>
      </c>
      <c r="X23" s="65">
        <v>0.22</v>
      </c>
      <c r="Y23" s="65">
        <v>0.22</v>
      </c>
      <c r="Z23" s="65">
        <v>0.22</v>
      </c>
      <c r="AA23" s="66">
        <v>0.22</v>
      </c>
      <c r="AB23" s="64">
        <v>0.22</v>
      </c>
      <c r="AC23" s="65">
        <v>0.22</v>
      </c>
      <c r="AD23" s="65">
        <v>0.22</v>
      </c>
      <c r="AE23" s="65">
        <v>0.22</v>
      </c>
      <c r="AF23" s="65">
        <v>0.22</v>
      </c>
      <c r="AG23" s="65">
        <v>0.22</v>
      </c>
      <c r="AH23" s="65">
        <v>0.22</v>
      </c>
      <c r="AI23" s="65">
        <v>0.22</v>
      </c>
      <c r="AJ23" s="65">
        <v>0.22</v>
      </c>
      <c r="AK23" s="65">
        <v>0.22</v>
      </c>
      <c r="AL23" s="65">
        <v>0.22</v>
      </c>
      <c r="AM23" s="66">
        <v>0.22</v>
      </c>
      <c r="AN23" s="64">
        <v>0.22</v>
      </c>
      <c r="AO23" s="65">
        <v>0.22</v>
      </c>
      <c r="AP23" s="65">
        <v>0.22</v>
      </c>
      <c r="AQ23" s="65">
        <v>0.22</v>
      </c>
      <c r="AR23" s="65">
        <v>0.22</v>
      </c>
      <c r="AS23" s="65">
        <v>0.22</v>
      </c>
      <c r="AT23" s="65">
        <v>0.22</v>
      </c>
      <c r="AU23" s="65">
        <v>0.22</v>
      </c>
      <c r="AV23" s="65">
        <v>0.22</v>
      </c>
      <c r="AW23" s="65">
        <v>0.22</v>
      </c>
      <c r="AX23" s="65">
        <v>0.22</v>
      </c>
      <c r="AY23" s="66">
        <v>0.22</v>
      </c>
      <c r="AZ23" s="64">
        <v>0.22</v>
      </c>
      <c r="BA23" s="65">
        <v>0.22</v>
      </c>
      <c r="BB23" s="65">
        <v>0.22</v>
      </c>
      <c r="BC23" s="65">
        <v>0.22</v>
      </c>
      <c r="BD23" s="65">
        <v>0.22</v>
      </c>
      <c r="BE23" s="65">
        <v>0.22</v>
      </c>
      <c r="BF23" s="65">
        <v>0.22</v>
      </c>
      <c r="BG23" s="65">
        <v>0.22</v>
      </c>
      <c r="BH23" s="65">
        <v>0.22</v>
      </c>
      <c r="BI23" s="65">
        <v>0.22</v>
      </c>
      <c r="BJ23" s="65">
        <v>0.22</v>
      </c>
      <c r="BK23" s="66">
        <v>0.22</v>
      </c>
      <c r="BL23" s="12"/>
      <c r="BM23" s="67">
        <f>AVERAGEIFS($D23:$BK23,$D$2:$BK$2,BM$2)</f>
        <v>0.22000000000000006</v>
      </c>
      <c r="BN23" s="12"/>
      <c r="BO23" s="67">
        <v>0.28599999999999998</v>
      </c>
      <c r="BP23" s="12"/>
      <c r="BQ23" s="67">
        <v>0.29199999999999998</v>
      </c>
      <c r="BR23" s="12"/>
      <c r="BS23" s="67">
        <v>0.29199999999999998</v>
      </c>
      <c r="BT23" s="12"/>
      <c r="BU23" s="67">
        <v>0.29199999999999998</v>
      </c>
      <c r="BV23" s="12"/>
      <c r="BW23" s="67">
        <f>AVERAGE(BM23:BU23)</f>
        <v>0.27640000000000003</v>
      </c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</row>
    <row r="24" spans="1:87" ht="16" x14ac:dyDescent="0.2">
      <c r="A24" s="120"/>
      <c r="B24" s="36"/>
      <c r="C24" s="29"/>
      <c r="D24" s="3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29"/>
      <c r="P24" s="36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29"/>
      <c r="AB24" s="36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29"/>
      <c r="AN24" s="36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29"/>
      <c r="AZ24" s="36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29"/>
      <c r="BL24" s="12"/>
      <c r="BM24" s="38"/>
      <c r="BN24" s="12"/>
      <c r="BO24" s="38"/>
      <c r="BP24" s="12"/>
      <c r="BQ24" s="38"/>
      <c r="BR24" s="12"/>
      <c r="BS24" s="38"/>
      <c r="BT24" s="12"/>
      <c r="BU24" s="38"/>
      <c r="BV24" s="12"/>
      <c r="BW24" s="38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</row>
    <row r="25" spans="1:87" ht="16" x14ac:dyDescent="0.2">
      <c r="A25" s="120"/>
      <c r="B25" s="59" t="s">
        <v>80</v>
      </c>
      <c r="C25" s="29" t="s">
        <v>67</v>
      </c>
      <c r="D25" s="68">
        <f t="shared" ref="D25:AI25" si="15">D26*(D18/(D18+D19))+D27*(D19/(D19+D18))</f>
        <v>2.08</v>
      </c>
      <c r="E25" s="69">
        <f t="shared" si="15"/>
        <v>2.08</v>
      </c>
      <c r="F25" s="69">
        <f t="shared" si="15"/>
        <v>2.08</v>
      </c>
      <c r="G25" s="69">
        <f t="shared" si="15"/>
        <v>2.08</v>
      </c>
      <c r="H25" s="69">
        <f t="shared" si="15"/>
        <v>2.0799999999999996</v>
      </c>
      <c r="I25" s="69">
        <f t="shared" si="15"/>
        <v>2.08</v>
      </c>
      <c r="J25" s="69">
        <f t="shared" si="15"/>
        <v>2.0799999999999996</v>
      </c>
      <c r="K25" s="69">
        <f t="shared" si="15"/>
        <v>2.08</v>
      </c>
      <c r="L25" s="69">
        <f t="shared" si="15"/>
        <v>2.08</v>
      </c>
      <c r="M25" s="69">
        <f t="shared" si="15"/>
        <v>2.0799999999999996</v>
      </c>
      <c r="N25" s="69">
        <f t="shared" si="15"/>
        <v>2.08</v>
      </c>
      <c r="O25" s="70">
        <f t="shared" si="15"/>
        <v>2.08</v>
      </c>
      <c r="P25" s="68">
        <f t="shared" si="15"/>
        <v>2.08</v>
      </c>
      <c r="Q25" s="69">
        <f t="shared" si="15"/>
        <v>2.0799999999999996</v>
      </c>
      <c r="R25" s="69">
        <f t="shared" si="15"/>
        <v>2.08</v>
      </c>
      <c r="S25" s="69">
        <f t="shared" si="15"/>
        <v>2.08</v>
      </c>
      <c r="T25" s="69">
        <f t="shared" si="15"/>
        <v>2.08</v>
      </c>
      <c r="U25" s="69">
        <f t="shared" si="15"/>
        <v>2.08</v>
      </c>
      <c r="V25" s="69">
        <f t="shared" si="15"/>
        <v>2.08</v>
      </c>
      <c r="W25" s="69">
        <f t="shared" si="15"/>
        <v>2.08</v>
      </c>
      <c r="X25" s="69">
        <f t="shared" si="15"/>
        <v>2.08</v>
      </c>
      <c r="Y25" s="69">
        <f t="shared" si="15"/>
        <v>2.08</v>
      </c>
      <c r="Z25" s="69">
        <f t="shared" si="15"/>
        <v>2.08</v>
      </c>
      <c r="AA25" s="70">
        <f t="shared" si="15"/>
        <v>2.08</v>
      </c>
      <c r="AB25" s="68">
        <f t="shared" si="15"/>
        <v>2.08</v>
      </c>
      <c r="AC25" s="69">
        <f t="shared" si="15"/>
        <v>2.08</v>
      </c>
      <c r="AD25" s="69">
        <f t="shared" si="15"/>
        <v>2.0799999999999996</v>
      </c>
      <c r="AE25" s="69">
        <f t="shared" si="15"/>
        <v>2.08</v>
      </c>
      <c r="AF25" s="69">
        <f t="shared" si="15"/>
        <v>2.08</v>
      </c>
      <c r="AG25" s="69">
        <f t="shared" si="15"/>
        <v>2.08</v>
      </c>
      <c r="AH25" s="69">
        <f t="shared" si="15"/>
        <v>2.08</v>
      </c>
      <c r="AI25" s="69">
        <f t="shared" si="15"/>
        <v>2.08</v>
      </c>
      <c r="AJ25" s="69">
        <f t="shared" ref="AJ25:BK25" si="16">AJ26*(AJ18/(AJ18+AJ19))+AJ27*(AJ19/(AJ19+AJ18))</f>
        <v>2.08</v>
      </c>
      <c r="AK25" s="69">
        <f t="shared" si="16"/>
        <v>2.08</v>
      </c>
      <c r="AL25" s="69">
        <f t="shared" si="16"/>
        <v>2.08</v>
      </c>
      <c r="AM25" s="70">
        <f t="shared" si="16"/>
        <v>2.08</v>
      </c>
      <c r="AN25" s="68">
        <f t="shared" si="16"/>
        <v>2.08</v>
      </c>
      <c r="AO25" s="69">
        <f t="shared" si="16"/>
        <v>2.08</v>
      </c>
      <c r="AP25" s="69">
        <f t="shared" si="16"/>
        <v>2.08</v>
      </c>
      <c r="AQ25" s="69">
        <f t="shared" si="16"/>
        <v>2.08</v>
      </c>
      <c r="AR25" s="69">
        <f t="shared" si="16"/>
        <v>2.0799999999999996</v>
      </c>
      <c r="AS25" s="69">
        <f t="shared" si="16"/>
        <v>2.0799999999999996</v>
      </c>
      <c r="AT25" s="69">
        <f t="shared" si="16"/>
        <v>2.08</v>
      </c>
      <c r="AU25" s="69">
        <f t="shared" si="16"/>
        <v>2.08</v>
      </c>
      <c r="AV25" s="69">
        <f t="shared" si="16"/>
        <v>2.08</v>
      </c>
      <c r="AW25" s="69">
        <f t="shared" si="16"/>
        <v>2.08</v>
      </c>
      <c r="AX25" s="69">
        <f t="shared" si="16"/>
        <v>2.08</v>
      </c>
      <c r="AY25" s="70">
        <f t="shared" si="16"/>
        <v>2.08</v>
      </c>
      <c r="AZ25" s="68">
        <f t="shared" si="16"/>
        <v>2.0799999999999996</v>
      </c>
      <c r="BA25" s="69">
        <f t="shared" si="16"/>
        <v>2.08</v>
      </c>
      <c r="BB25" s="69">
        <f t="shared" si="16"/>
        <v>2.0799999999999996</v>
      </c>
      <c r="BC25" s="69">
        <f t="shared" si="16"/>
        <v>2.08</v>
      </c>
      <c r="BD25" s="69">
        <f t="shared" si="16"/>
        <v>2.08</v>
      </c>
      <c r="BE25" s="69">
        <f t="shared" si="16"/>
        <v>2.08</v>
      </c>
      <c r="BF25" s="69">
        <f t="shared" si="16"/>
        <v>2.08</v>
      </c>
      <c r="BG25" s="69">
        <f t="shared" si="16"/>
        <v>2.08</v>
      </c>
      <c r="BH25" s="69">
        <f t="shared" si="16"/>
        <v>2.08</v>
      </c>
      <c r="BI25" s="69">
        <f t="shared" si="16"/>
        <v>2.08</v>
      </c>
      <c r="BJ25" s="69">
        <f t="shared" si="16"/>
        <v>2.08</v>
      </c>
      <c r="BK25" s="70">
        <f t="shared" si="16"/>
        <v>2.08</v>
      </c>
      <c r="BL25" s="12"/>
      <c r="BM25" s="63">
        <f>AVERAGEIFS($D25:$BK25,$D$2:$BK$2,BM$2)</f>
        <v>2.0799999999999996</v>
      </c>
      <c r="BN25" s="57"/>
      <c r="BO25" s="63">
        <v>0.29499999999999998</v>
      </c>
      <c r="BP25" s="57"/>
      <c r="BQ25" s="63">
        <v>0.29899999999999999</v>
      </c>
      <c r="BR25" s="57"/>
      <c r="BS25" s="63">
        <v>0.29899999999999999</v>
      </c>
      <c r="BT25" s="57"/>
      <c r="BU25" s="63">
        <v>0.29899999999999999</v>
      </c>
      <c r="BV25" s="57"/>
      <c r="BW25" s="63">
        <f>AVERAGE(BM25:BU25)</f>
        <v>0.65439999999999987</v>
      </c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</row>
    <row r="26" spans="1:87" ht="16" x14ac:dyDescent="0.2">
      <c r="A26" s="120"/>
      <c r="B26" s="58" t="s">
        <v>77</v>
      </c>
      <c r="C26" s="29"/>
      <c r="D26" s="71">
        <v>1.9</v>
      </c>
      <c r="E26" s="72">
        <v>1.9</v>
      </c>
      <c r="F26" s="72">
        <v>1.9</v>
      </c>
      <c r="G26" s="72">
        <v>1.9</v>
      </c>
      <c r="H26" s="72">
        <v>1.9</v>
      </c>
      <c r="I26" s="72">
        <v>1.9</v>
      </c>
      <c r="J26" s="72">
        <v>1.9</v>
      </c>
      <c r="K26" s="72">
        <v>1.9</v>
      </c>
      <c r="L26" s="72">
        <v>1.9</v>
      </c>
      <c r="M26" s="72">
        <v>1.9</v>
      </c>
      <c r="N26" s="72">
        <v>1.9</v>
      </c>
      <c r="O26" s="73">
        <v>1.9</v>
      </c>
      <c r="P26" s="71">
        <v>1.9</v>
      </c>
      <c r="Q26" s="72">
        <v>1.9</v>
      </c>
      <c r="R26" s="72">
        <v>1.9</v>
      </c>
      <c r="S26" s="72">
        <v>1.9</v>
      </c>
      <c r="T26" s="72">
        <v>1.9</v>
      </c>
      <c r="U26" s="72">
        <v>1.9</v>
      </c>
      <c r="V26" s="72">
        <v>1.9</v>
      </c>
      <c r="W26" s="72">
        <v>1.9</v>
      </c>
      <c r="X26" s="72">
        <v>1.9</v>
      </c>
      <c r="Y26" s="72">
        <v>1.9</v>
      </c>
      <c r="Z26" s="72">
        <v>1.9</v>
      </c>
      <c r="AA26" s="73">
        <v>1.9</v>
      </c>
      <c r="AB26" s="71">
        <v>1.9</v>
      </c>
      <c r="AC26" s="72">
        <v>1.9</v>
      </c>
      <c r="AD26" s="72">
        <v>1.9</v>
      </c>
      <c r="AE26" s="72">
        <v>1.9</v>
      </c>
      <c r="AF26" s="72">
        <v>1.9</v>
      </c>
      <c r="AG26" s="72">
        <v>1.9</v>
      </c>
      <c r="AH26" s="72">
        <v>1.9</v>
      </c>
      <c r="AI26" s="72">
        <v>1.9</v>
      </c>
      <c r="AJ26" s="72">
        <v>1.9</v>
      </c>
      <c r="AK26" s="72">
        <v>1.9</v>
      </c>
      <c r="AL26" s="72">
        <v>1.9</v>
      </c>
      <c r="AM26" s="73">
        <v>1.9</v>
      </c>
      <c r="AN26" s="71">
        <v>1.9</v>
      </c>
      <c r="AO26" s="72">
        <v>1.9</v>
      </c>
      <c r="AP26" s="72">
        <v>1.9</v>
      </c>
      <c r="AQ26" s="72">
        <v>1.9</v>
      </c>
      <c r="AR26" s="72">
        <v>1.9</v>
      </c>
      <c r="AS26" s="72">
        <v>1.9</v>
      </c>
      <c r="AT26" s="72">
        <v>1.9</v>
      </c>
      <c r="AU26" s="72">
        <v>1.9</v>
      </c>
      <c r="AV26" s="72">
        <v>1.9</v>
      </c>
      <c r="AW26" s="72">
        <v>1.9</v>
      </c>
      <c r="AX26" s="72">
        <v>1.9</v>
      </c>
      <c r="AY26" s="73">
        <v>1.9</v>
      </c>
      <c r="AZ26" s="71">
        <v>1.9</v>
      </c>
      <c r="BA26" s="72">
        <v>1.9</v>
      </c>
      <c r="BB26" s="72">
        <v>1.9</v>
      </c>
      <c r="BC26" s="72">
        <v>1.9</v>
      </c>
      <c r="BD26" s="72">
        <v>1.9</v>
      </c>
      <c r="BE26" s="72">
        <v>1.9</v>
      </c>
      <c r="BF26" s="72">
        <v>1.9</v>
      </c>
      <c r="BG26" s="72">
        <v>1.9</v>
      </c>
      <c r="BH26" s="72">
        <v>1.9</v>
      </c>
      <c r="BI26" s="72">
        <v>1.9</v>
      </c>
      <c r="BJ26" s="72">
        <v>1.9</v>
      </c>
      <c r="BK26" s="73">
        <v>1.9</v>
      </c>
      <c r="BL26" s="12"/>
      <c r="BM26" s="67">
        <f>AVERAGEIFS($D26:$BK26,$D$2:$BK$2,BM$2)</f>
        <v>1.8999999999999997</v>
      </c>
      <c r="BN26" s="12"/>
      <c r="BO26" s="67">
        <v>0.30099999999999999</v>
      </c>
      <c r="BP26" s="12"/>
      <c r="BQ26" s="67">
        <v>0.30499999999999999</v>
      </c>
      <c r="BR26" s="12"/>
      <c r="BS26" s="67">
        <v>0.30499999999999999</v>
      </c>
      <c r="BT26" s="12"/>
      <c r="BU26" s="67">
        <v>0.30499999999999999</v>
      </c>
      <c r="BV26" s="57"/>
      <c r="BW26" s="67">
        <f>AVERAGE(BM26:BU26)</f>
        <v>0.62319999999999998</v>
      </c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</row>
    <row r="27" spans="1:87" ht="16" x14ac:dyDescent="0.2">
      <c r="A27" s="120"/>
      <c r="B27" s="58" t="s">
        <v>78</v>
      </c>
      <c r="C27" s="29"/>
      <c r="D27" s="71">
        <v>2.5</v>
      </c>
      <c r="E27" s="72">
        <v>2.5</v>
      </c>
      <c r="F27" s="72">
        <v>2.5</v>
      </c>
      <c r="G27" s="72">
        <v>2.5</v>
      </c>
      <c r="H27" s="72">
        <v>2.5</v>
      </c>
      <c r="I27" s="72">
        <v>2.5</v>
      </c>
      <c r="J27" s="72">
        <v>2.5</v>
      </c>
      <c r="K27" s="72">
        <v>2.5</v>
      </c>
      <c r="L27" s="72">
        <v>2.5</v>
      </c>
      <c r="M27" s="72">
        <v>2.5</v>
      </c>
      <c r="N27" s="72">
        <v>2.5</v>
      </c>
      <c r="O27" s="73">
        <v>2.5</v>
      </c>
      <c r="P27" s="71">
        <v>2.5</v>
      </c>
      <c r="Q27" s="72">
        <v>2.5</v>
      </c>
      <c r="R27" s="72">
        <v>2.5</v>
      </c>
      <c r="S27" s="72">
        <v>2.5</v>
      </c>
      <c r="T27" s="72">
        <v>2.5</v>
      </c>
      <c r="U27" s="72">
        <v>2.5</v>
      </c>
      <c r="V27" s="72">
        <v>2.5</v>
      </c>
      <c r="W27" s="72">
        <v>2.5</v>
      </c>
      <c r="X27" s="72">
        <v>2.5</v>
      </c>
      <c r="Y27" s="72">
        <v>2.5</v>
      </c>
      <c r="Z27" s="72">
        <v>2.5</v>
      </c>
      <c r="AA27" s="73">
        <v>2.5</v>
      </c>
      <c r="AB27" s="71">
        <v>2.5</v>
      </c>
      <c r="AC27" s="72">
        <v>2.5</v>
      </c>
      <c r="AD27" s="72">
        <v>2.5</v>
      </c>
      <c r="AE27" s="72">
        <v>2.5</v>
      </c>
      <c r="AF27" s="72">
        <v>2.5</v>
      </c>
      <c r="AG27" s="72">
        <v>2.5</v>
      </c>
      <c r="AH27" s="72">
        <v>2.5</v>
      </c>
      <c r="AI27" s="72">
        <v>2.5</v>
      </c>
      <c r="AJ27" s="72">
        <v>2.5</v>
      </c>
      <c r="AK27" s="72">
        <v>2.5</v>
      </c>
      <c r="AL27" s="72">
        <v>2.5</v>
      </c>
      <c r="AM27" s="73">
        <v>2.5</v>
      </c>
      <c r="AN27" s="71">
        <v>2.5</v>
      </c>
      <c r="AO27" s="72">
        <v>2.5</v>
      </c>
      <c r="AP27" s="72">
        <v>2.5</v>
      </c>
      <c r="AQ27" s="72">
        <v>2.5</v>
      </c>
      <c r="AR27" s="72">
        <v>2.5</v>
      </c>
      <c r="AS27" s="72">
        <v>2.5</v>
      </c>
      <c r="AT27" s="72">
        <v>2.5</v>
      </c>
      <c r="AU27" s="72">
        <v>2.5</v>
      </c>
      <c r="AV27" s="72">
        <v>2.5</v>
      </c>
      <c r="AW27" s="72">
        <v>2.5</v>
      </c>
      <c r="AX27" s="72">
        <v>2.5</v>
      </c>
      <c r="AY27" s="73">
        <v>2.5</v>
      </c>
      <c r="AZ27" s="71">
        <v>2.5</v>
      </c>
      <c r="BA27" s="72">
        <v>2.5</v>
      </c>
      <c r="BB27" s="72">
        <v>2.5</v>
      </c>
      <c r="BC27" s="72">
        <v>2.5</v>
      </c>
      <c r="BD27" s="72">
        <v>2.5</v>
      </c>
      <c r="BE27" s="72">
        <v>2.5</v>
      </c>
      <c r="BF27" s="72">
        <v>2.5</v>
      </c>
      <c r="BG27" s="72">
        <v>2.5</v>
      </c>
      <c r="BH27" s="72">
        <v>2.5</v>
      </c>
      <c r="BI27" s="72">
        <v>2.5</v>
      </c>
      <c r="BJ27" s="72">
        <v>2.5</v>
      </c>
      <c r="BK27" s="73">
        <v>2.5</v>
      </c>
      <c r="BL27" s="12"/>
      <c r="BM27" s="67">
        <f>AVERAGEIFS($D27:$BK27,$D$2:$BK$2,BM$2)</f>
        <v>2.5</v>
      </c>
      <c r="BN27" s="12"/>
      <c r="BO27" s="67">
        <v>0.28599999999999998</v>
      </c>
      <c r="BP27" s="12"/>
      <c r="BQ27" s="67">
        <v>0.29199999999999998</v>
      </c>
      <c r="BR27" s="12"/>
      <c r="BS27" s="67">
        <v>0.29199999999999998</v>
      </c>
      <c r="BT27" s="12"/>
      <c r="BU27" s="67">
        <v>0.29199999999999998</v>
      </c>
      <c r="BV27" s="57"/>
      <c r="BW27" s="67">
        <f>AVERAGE(BM27:BU27)</f>
        <v>0.73239999999999994</v>
      </c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</row>
    <row r="28" spans="1:87" ht="16" x14ac:dyDescent="0.2">
      <c r="A28" s="120"/>
      <c r="B28" s="59"/>
      <c r="C28" s="29"/>
      <c r="D28" s="74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6"/>
      <c r="P28" s="74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6"/>
      <c r="AB28" s="74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6"/>
      <c r="AN28" s="74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6"/>
      <c r="AZ28" s="74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6"/>
      <c r="BL28" s="12"/>
      <c r="BM28" s="77"/>
      <c r="BN28" s="57"/>
      <c r="BO28" s="77"/>
      <c r="BP28" s="57"/>
      <c r="BQ28" s="77"/>
      <c r="BR28" s="57"/>
      <c r="BS28" s="77"/>
      <c r="BT28" s="57"/>
      <c r="BU28" s="77"/>
      <c r="BV28" s="57"/>
      <c r="BW28" s="77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</row>
    <row r="29" spans="1:87" ht="16" x14ac:dyDescent="0.2">
      <c r="A29" s="120"/>
      <c r="B29" s="59" t="s">
        <v>81</v>
      </c>
      <c r="C29" s="29" t="s">
        <v>82</v>
      </c>
      <c r="D29" s="74">
        <f t="shared" ref="D29:AI29" si="17">D30+D31</f>
        <v>5.1002999999999998</v>
      </c>
      <c r="E29" s="75">
        <f t="shared" si="17"/>
        <v>6.1304682721370209</v>
      </c>
      <c r="F29" s="75">
        <f t="shared" si="17"/>
        <v>6.3324867776231502</v>
      </c>
      <c r="G29" s="75">
        <f t="shared" si="17"/>
        <v>6.4070155498785155</v>
      </c>
      <c r="H29" s="75">
        <f t="shared" si="17"/>
        <v>6.2892453118225706</v>
      </c>
      <c r="I29" s="75">
        <f t="shared" si="17"/>
        <v>6.106786618564926</v>
      </c>
      <c r="J29" s="75">
        <f t="shared" si="17"/>
        <v>5.9880962105661446</v>
      </c>
      <c r="K29" s="75">
        <f t="shared" si="17"/>
        <v>6.1269749853618638</v>
      </c>
      <c r="L29" s="75">
        <f t="shared" si="17"/>
        <v>6.4600991396684417</v>
      </c>
      <c r="M29" s="75">
        <f t="shared" si="17"/>
        <v>6.7943069445468742</v>
      </c>
      <c r="N29" s="75">
        <f t="shared" si="17"/>
        <v>6.9999719604233084</v>
      </c>
      <c r="O29" s="76">
        <f t="shared" si="17"/>
        <v>7.7905922035856774</v>
      </c>
      <c r="P29" s="74">
        <f t="shared" si="17"/>
        <v>5.2023060000000036</v>
      </c>
      <c r="Q29" s="75">
        <f t="shared" si="17"/>
        <v>6.2530776375797652</v>
      </c>
      <c r="R29" s="75">
        <f t="shared" si="17"/>
        <v>6.4591365131756184</v>
      </c>
      <c r="S29" s="75">
        <f t="shared" si="17"/>
        <v>6.53515586087609</v>
      </c>
      <c r="T29" s="75">
        <f t="shared" si="17"/>
        <v>6.4150302180590266</v>
      </c>
      <c r="U29" s="75">
        <f t="shared" si="17"/>
        <v>6.2289223509362284</v>
      </c>
      <c r="V29" s="75">
        <f t="shared" si="17"/>
        <v>6.1078581347774712</v>
      </c>
      <c r="W29" s="75">
        <f t="shared" si="17"/>
        <v>6.2495144850691062</v>
      </c>
      <c r="X29" s="75">
        <f t="shared" si="17"/>
        <v>6.5893011224618165</v>
      </c>
      <c r="Y29" s="75">
        <f t="shared" si="17"/>
        <v>6.9301930834378176</v>
      </c>
      <c r="Z29" s="75">
        <f t="shared" si="17"/>
        <v>7.139971399631782</v>
      </c>
      <c r="AA29" s="76">
        <f t="shared" si="17"/>
        <v>7.9464040476573965</v>
      </c>
      <c r="AB29" s="74">
        <f t="shared" si="17"/>
        <v>5.3063521200000086</v>
      </c>
      <c r="AC29" s="75">
        <f t="shared" si="17"/>
        <v>6.3781391903313658</v>
      </c>
      <c r="AD29" s="75">
        <f t="shared" si="17"/>
        <v>6.5883192434391358</v>
      </c>
      <c r="AE29" s="75">
        <f t="shared" si="17"/>
        <v>6.6658589780936168</v>
      </c>
      <c r="AF29" s="75">
        <f t="shared" si="17"/>
        <v>6.543330822420212</v>
      </c>
      <c r="AG29" s="75">
        <f t="shared" si="17"/>
        <v>6.3535007979549576</v>
      </c>
      <c r="AH29" s="75">
        <f t="shared" si="17"/>
        <v>6.2300152974730256</v>
      </c>
      <c r="AI29" s="75">
        <f t="shared" si="17"/>
        <v>6.374504774770493</v>
      </c>
      <c r="AJ29" s="75">
        <f t="shared" ref="AJ29:BK29" si="18">AJ30+AJ31</f>
        <v>6.7210871449110572</v>
      </c>
      <c r="AK29" s="75">
        <f t="shared" si="18"/>
        <v>7.0687969451065769</v>
      </c>
      <c r="AL29" s="75">
        <f t="shared" si="18"/>
        <v>7.2827708276244207</v>
      </c>
      <c r="AM29" s="76">
        <f t="shared" si="18"/>
        <v>8.1053321286105486</v>
      </c>
      <c r="AN29" s="74">
        <f t="shared" si="18"/>
        <v>5.412479162400011</v>
      </c>
      <c r="AO29" s="75">
        <f t="shared" si="18"/>
        <v>6.5057019741379953</v>
      </c>
      <c r="AP29" s="75">
        <f t="shared" si="18"/>
        <v>6.7200856283079213</v>
      </c>
      <c r="AQ29" s="75">
        <f t="shared" si="18"/>
        <v>6.7991761576554932</v>
      </c>
      <c r="AR29" s="75">
        <f t="shared" si="18"/>
        <v>6.6741974388686192</v>
      </c>
      <c r="AS29" s="75">
        <f t="shared" si="18"/>
        <v>6.4805708139140616</v>
      </c>
      <c r="AT29" s="75">
        <f t="shared" si="18"/>
        <v>6.3546156034224897</v>
      </c>
      <c r="AU29" s="75">
        <f t="shared" si="18"/>
        <v>6.5019948702659072</v>
      </c>
      <c r="AV29" s="75">
        <f t="shared" si="18"/>
        <v>6.8555088878092825</v>
      </c>
      <c r="AW29" s="75">
        <f t="shared" si="18"/>
        <v>7.2101728840087134</v>
      </c>
      <c r="AX29" s="75">
        <f t="shared" si="18"/>
        <v>7.4284262441769133</v>
      </c>
      <c r="AY29" s="76">
        <f t="shared" si="18"/>
        <v>8.2674387711827659</v>
      </c>
      <c r="AZ29" s="74">
        <f t="shared" si="18"/>
        <v>5.5207287456480154</v>
      </c>
      <c r="BA29" s="75">
        <f t="shared" si="18"/>
        <v>6.6358160136207616</v>
      </c>
      <c r="BB29" s="75">
        <f t="shared" si="18"/>
        <v>6.8544873408740852</v>
      </c>
      <c r="BC29" s="75">
        <f t="shared" si="18"/>
        <v>6.9351596808086065</v>
      </c>
      <c r="BD29" s="75">
        <f t="shared" si="18"/>
        <v>6.8076813876459967</v>
      </c>
      <c r="BE29" s="75">
        <f t="shared" si="18"/>
        <v>6.610182230192347</v>
      </c>
      <c r="BF29" s="75">
        <f t="shared" si="18"/>
        <v>6.4817079154909436</v>
      </c>
      <c r="BG29" s="75">
        <f t="shared" si="18"/>
        <v>6.6320347676712297</v>
      </c>
      <c r="BH29" s="75">
        <f t="shared" si="18"/>
        <v>6.9926190655654734</v>
      </c>
      <c r="BI29" s="75">
        <f t="shared" si="18"/>
        <v>7.3543763416888925</v>
      </c>
      <c r="BJ29" s="75">
        <f t="shared" si="18"/>
        <v>7.5769947690604571</v>
      </c>
      <c r="BK29" s="76">
        <f t="shared" si="18"/>
        <v>8.432787546606427</v>
      </c>
      <c r="BL29" s="12"/>
      <c r="BM29" s="78">
        <f>SUMIF($D$2:$BK$2,BM$2,$D29:$BK29)</f>
        <v>76.526343974178488</v>
      </c>
      <c r="BN29" s="27"/>
      <c r="BO29" s="78">
        <f>SUMIF($D$2:$BK$2,BO$2,$D29:$BK29)</f>
        <v>78.056870853662119</v>
      </c>
      <c r="BP29" s="27"/>
      <c r="BQ29" s="78">
        <f>SUMIF($D$2:$BK$2,BQ$2,$D29:$BK29)</f>
        <v>79.61800827073543</v>
      </c>
      <c r="BR29" s="27"/>
      <c r="BS29" s="78">
        <f>SUMIF($D$2:$BK$2,BS$2,$D29:$BK29)</f>
        <v>81.210368436150176</v>
      </c>
      <c r="BT29" s="27"/>
      <c r="BU29" s="78">
        <f>SUMIF($D$2:$BK$2,BU$2,$D29:$BK29)</f>
        <v>82.834575804873253</v>
      </c>
      <c r="BV29" s="57"/>
      <c r="BW29" s="78">
        <f>BM29+BO29+BQ29+BS29+BU29</f>
        <v>398.24616733959942</v>
      </c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</row>
    <row r="30" spans="1:87" ht="16" x14ac:dyDescent="0.2">
      <c r="A30" s="120"/>
      <c r="B30" s="58" t="s">
        <v>77</v>
      </c>
      <c r="C30" s="29"/>
      <c r="D30" s="30">
        <f>D18*D22*D26</f>
        <v>2.8727999999999998</v>
      </c>
      <c r="E30" s="31">
        <f t="shared" ref="D30:AI30" si="19">E18*E22*E26</f>
        <v>3.4530535953169874</v>
      </c>
      <c r="F30" s="31">
        <f t="shared" si="19"/>
        <v>3.5668427376342149</v>
      </c>
      <c r="G30" s="31">
        <f t="shared" si="19"/>
        <v>3.6088218872793756</v>
      </c>
      <c r="H30" s="31">
        <f t="shared" si="19"/>
        <v>3.5424865070297593</v>
      </c>
      <c r="I30" s="31">
        <f t="shared" si="19"/>
        <v>3.4397146438078772</v>
      </c>
      <c r="J30" s="31">
        <f t="shared" si="19"/>
        <v>3.3728609677302153</v>
      </c>
      <c r="K30" s="31">
        <f t="shared" si="19"/>
        <v>3.4510859631683553</v>
      </c>
      <c r="L30" s="31">
        <f t="shared" si="19"/>
        <v>3.6387218023330972</v>
      </c>
      <c r="M30" s="31">
        <f t="shared" si="19"/>
        <v>3.8269680195859568</v>
      </c>
      <c r="N30" s="31">
        <f t="shared" si="19"/>
        <v>3.942811098936156</v>
      </c>
      <c r="O30" s="32">
        <f t="shared" si="19"/>
        <v>4.388136635582403</v>
      </c>
      <c r="P30" s="30">
        <f t="shared" si="19"/>
        <v>2.9302560000000013</v>
      </c>
      <c r="Q30" s="31">
        <f t="shared" si="19"/>
        <v>3.5221146672233292</v>
      </c>
      <c r="R30" s="31">
        <f t="shared" si="19"/>
        <v>3.6381795923869009</v>
      </c>
      <c r="S30" s="31">
        <f t="shared" si="19"/>
        <v>3.6809983250249645</v>
      </c>
      <c r="T30" s="31">
        <f t="shared" si="19"/>
        <v>3.6133362371703557</v>
      </c>
      <c r="U30" s="31">
        <f t="shared" si="19"/>
        <v>3.508508936684037</v>
      </c>
      <c r="V30" s="31">
        <f t="shared" si="19"/>
        <v>3.4403181870848214</v>
      </c>
      <c r="W30" s="31">
        <f t="shared" si="19"/>
        <v>3.5201076824317243</v>
      </c>
      <c r="X30" s="31">
        <f t="shared" si="19"/>
        <v>3.7114962383797625</v>
      </c>
      <c r="Y30" s="31">
        <f t="shared" si="19"/>
        <v>3.9035073799776789</v>
      </c>
      <c r="Z30" s="31">
        <f t="shared" si="19"/>
        <v>4.021667320914883</v>
      </c>
      <c r="AA30" s="32">
        <f t="shared" si="19"/>
        <v>4.475899368294054</v>
      </c>
      <c r="AB30" s="30">
        <f t="shared" si="19"/>
        <v>2.9888611200000037</v>
      </c>
      <c r="AC30" s="31">
        <f t="shared" si="19"/>
        <v>3.5925569605677983</v>
      </c>
      <c r="AD30" s="31">
        <f t="shared" si="19"/>
        <v>3.7109431842346421</v>
      </c>
      <c r="AE30" s="31">
        <f t="shared" si="19"/>
        <v>3.7546182915254667</v>
      </c>
      <c r="AF30" s="31">
        <f t="shared" si="19"/>
        <v>3.6856029619137658</v>
      </c>
      <c r="AG30" s="31">
        <f t="shared" si="19"/>
        <v>3.5786791154177204</v>
      </c>
      <c r="AH30" s="31">
        <f t="shared" si="19"/>
        <v>3.5091245508265203</v>
      </c>
      <c r="AI30" s="31">
        <f t="shared" si="19"/>
        <v>3.5905098360803613</v>
      </c>
      <c r="AJ30" s="31">
        <f t="shared" ref="AJ30:BK30" si="20">AJ18*AJ22*AJ26</f>
        <v>3.78572616314736</v>
      </c>
      <c r="AK30" s="31">
        <f t="shared" si="20"/>
        <v>3.9815775275772345</v>
      </c>
      <c r="AL30" s="31">
        <f t="shared" si="20"/>
        <v>4.1021006673331826</v>
      </c>
      <c r="AM30" s="32">
        <f t="shared" si="20"/>
        <v>4.5654173556599371</v>
      </c>
      <c r="AN30" s="30">
        <f t="shared" si="20"/>
        <v>3.0486383424000052</v>
      </c>
      <c r="AO30" s="31">
        <f t="shared" si="20"/>
        <v>3.6644080997791564</v>
      </c>
      <c r="AP30" s="31">
        <f t="shared" si="20"/>
        <v>3.7851620479193371</v>
      </c>
      <c r="AQ30" s="31">
        <f t="shared" si="20"/>
        <v>3.8297106573559789</v>
      </c>
      <c r="AR30" s="31">
        <f t="shared" si="20"/>
        <v>3.7593150211520436</v>
      </c>
      <c r="AS30" s="31">
        <f t="shared" si="20"/>
        <v>3.6502526977260774</v>
      </c>
      <c r="AT30" s="31">
        <f t="shared" si="20"/>
        <v>3.5793070418430535</v>
      </c>
      <c r="AU30" s="31">
        <f t="shared" si="20"/>
        <v>3.6623200328019716</v>
      </c>
      <c r="AV30" s="31">
        <f t="shared" si="20"/>
        <v>3.8614406864103104</v>
      </c>
      <c r="AW30" s="31">
        <f t="shared" si="20"/>
        <v>4.0612090781287824</v>
      </c>
      <c r="AX30" s="31">
        <f t="shared" si="20"/>
        <v>4.184142680679849</v>
      </c>
      <c r="AY30" s="32">
        <f t="shared" si="20"/>
        <v>4.6567257027731399</v>
      </c>
      <c r="AZ30" s="30">
        <f t="shared" si="20"/>
        <v>3.1096111092480081</v>
      </c>
      <c r="BA30" s="31">
        <f t="shared" si="20"/>
        <v>3.7376962617747429</v>
      </c>
      <c r="BB30" s="31">
        <f t="shared" si="20"/>
        <v>3.8608652888777266</v>
      </c>
      <c r="BC30" s="31">
        <f t="shared" si="20"/>
        <v>3.9063048705031007</v>
      </c>
      <c r="BD30" s="31">
        <f t="shared" si="20"/>
        <v>3.8345013215750878</v>
      </c>
      <c r="BE30" s="31">
        <f t="shared" si="20"/>
        <v>3.7232577516806016</v>
      </c>
      <c r="BF30" s="31">
        <f t="shared" si="20"/>
        <v>3.6508931826799178</v>
      </c>
      <c r="BG30" s="31">
        <f t="shared" si="20"/>
        <v>3.7355664334580139</v>
      </c>
      <c r="BH30" s="31">
        <f t="shared" si="20"/>
        <v>3.9386695001385195</v>
      </c>
      <c r="BI30" s="31">
        <f t="shared" si="20"/>
        <v>4.1424332596913613</v>
      </c>
      <c r="BJ30" s="31">
        <f t="shared" si="20"/>
        <v>4.2678255342934497</v>
      </c>
      <c r="BK30" s="32">
        <f t="shared" si="20"/>
        <v>4.7498602168286066</v>
      </c>
      <c r="BL30" s="12"/>
      <c r="BM30" s="37">
        <f>SUMIF($D$2:$BK$2,BM$2,$D30:$BK30)</f>
        <v>43.1043038584044</v>
      </c>
      <c r="BN30" s="27"/>
      <c r="BO30" s="37">
        <f>SUMIF($D$2:$BK$2,BO$2,$D30:$BK30)</f>
        <v>43.966389935572508</v>
      </c>
      <c r="BP30" s="27"/>
      <c r="BQ30" s="37">
        <f>SUMIF($D$2:$BK$2,BQ$2,$D30:$BK30)</f>
        <v>44.845717734284001</v>
      </c>
      <c r="BR30" s="27"/>
      <c r="BS30" s="37">
        <f>SUMIF($D$2:$BK$2,BS$2,$D30:$BK30)</f>
        <v>45.742632088969707</v>
      </c>
      <c r="BT30" s="27"/>
      <c r="BU30" s="37">
        <f>SUMIF($D$2:$BK$2,BU$2,$D30:$BK30)</f>
        <v>46.65748473074914</v>
      </c>
      <c r="BV30" s="12"/>
      <c r="BW30" s="37">
        <f>BM30+BO30+BQ30+BS30+BU30</f>
        <v>224.31652834797976</v>
      </c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</row>
    <row r="31" spans="1:87" ht="16" x14ac:dyDescent="0.2">
      <c r="A31" s="120"/>
      <c r="B31" s="58" t="s">
        <v>78</v>
      </c>
      <c r="C31" s="29"/>
      <c r="D31" s="30">
        <f t="shared" ref="D31:AI31" si="21">D19*D23*D27</f>
        <v>2.2275</v>
      </c>
      <c r="E31" s="31">
        <f t="shared" si="21"/>
        <v>2.6774146768200331</v>
      </c>
      <c r="F31" s="31">
        <f t="shared" si="21"/>
        <v>2.7656440399889353</v>
      </c>
      <c r="G31" s="31">
        <f t="shared" si="21"/>
        <v>2.7981936625991399</v>
      </c>
      <c r="H31" s="31">
        <f t="shared" si="21"/>
        <v>2.7467588047928118</v>
      </c>
      <c r="I31" s="31">
        <f t="shared" si="21"/>
        <v>2.6670719747570488</v>
      </c>
      <c r="J31" s="31">
        <f t="shared" si="21"/>
        <v>2.6152352428359289</v>
      </c>
      <c r="K31" s="31">
        <f t="shared" si="21"/>
        <v>2.675889022193509</v>
      </c>
      <c r="L31" s="31">
        <f t="shared" si="21"/>
        <v>2.821377337335345</v>
      </c>
      <c r="M31" s="31">
        <f t="shared" si="21"/>
        <v>2.9673389249609174</v>
      </c>
      <c r="N31" s="31">
        <f t="shared" si="21"/>
        <v>3.0571608614871524</v>
      </c>
      <c r="O31" s="32">
        <f t="shared" si="21"/>
        <v>3.4024555680032744</v>
      </c>
      <c r="P31" s="30">
        <f t="shared" si="21"/>
        <v>2.2720500000000019</v>
      </c>
      <c r="Q31" s="31">
        <f t="shared" si="21"/>
        <v>2.730962970356436</v>
      </c>
      <c r="R31" s="31">
        <f t="shared" si="21"/>
        <v>2.8209569207887171</v>
      </c>
      <c r="S31" s="31">
        <f>S19*S23*S27</f>
        <v>2.8541575358511251</v>
      </c>
      <c r="T31" s="31">
        <f t="shared" si="21"/>
        <v>2.8016939808886705</v>
      </c>
      <c r="U31" s="31">
        <f t="shared" si="21"/>
        <v>2.7204134142521919</v>
      </c>
      <c r="V31" s="31">
        <f t="shared" si="21"/>
        <v>2.6675399476926498</v>
      </c>
      <c r="W31" s="31">
        <f t="shared" si="21"/>
        <v>2.7294068026373819</v>
      </c>
      <c r="X31" s="31">
        <f t="shared" si="21"/>
        <v>2.877804884082054</v>
      </c>
      <c r="Y31" s="31">
        <f t="shared" si="21"/>
        <v>3.0266857034601387</v>
      </c>
      <c r="Z31" s="31">
        <f t="shared" si="21"/>
        <v>3.118304078716899</v>
      </c>
      <c r="AA31" s="32">
        <f t="shared" si="21"/>
        <v>3.4705046793633425</v>
      </c>
      <c r="AB31" s="30">
        <f t="shared" si="21"/>
        <v>2.3174910000000044</v>
      </c>
      <c r="AC31" s="31">
        <f t="shared" si="21"/>
        <v>2.7855822297635671</v>
      </c>
      <c r="AD31" s="31">
        <f t="shared" si="21"/>
        <v>2.8773760592044932</v>
      </c>
      <c r="AE31" s="31">
        <f t="shared" si="21"/>
        <v>2.9112406865681502</v>
      </c>
      <c r="AF31" s="31">
        <f t="shared" si="21"/>
        <v>2.8577278605064462</v>
      </c>
      <c r="AG31" s="31">
        <f t="shared" si="21"/>
        <v>2.7748216825372376</v>
      </c>
      <c r="AH31" s="31">
        <f t="shared" si="21"/>
        <v>2.7208907466465049</v>
      </c>
      <c r="AI31" s="31">
        <f t="shared" si="21"/>
        <v>2.7839949386901317</v>
      </c>
      <c r="AJ31" s="31">
        <f t="shared" ref="AJ31:BK31" si="22">AJ19*AJ23*AJ27</f>
        <v>2.9353609817636972</v>
      </c>
      <c r="AK31" s="31">
        <f t="shared" si="22"/>
        <v>3.0872194175293428</v>
      </c>
      <c r="AL31" s="31">
        <f t="shared" si="22"/>
        <v>3.1806701602912382</v>
      </c>
      <c r="AM31" s="32">
        <f t="shared" si="22"/>
        <v>3.5399147729506115</v>
      </c>
      <c r="AN31" s="30">
        <f t="shared" si="22"/>
        <v>2.3638408200000054</v>
      </c>
      <c r="AO31" s="31">
        <f t="shared" si="22"/>
        <v>2.8412938743588394</v>
      </c>
      <c r="AP31" s="31">
        <f t="shared" si="22"/>
        <v>2.9349235803885843</v>
      </c>
      <c r="AQ31" s="31">
        <f t="shared" si="22"/>
        <v>2.9694655002995147</v>
      </c>
      <c r="AR31" s="31">
        <f t="shared" si="22"/>
        <v>2.914882417716576</v>
      </c>
      <c r="AS31" s="31">
        <f t="shared" si="22"/>
        <v>2.8303181161879842</v>
      </c>
      <c r="AT31" s="31">
        <f t="shared" si="22"/>
        <v>2.7753085615794366</v>
      </c>
      <c r="AU31" s="31">
        <f t="shared" si="22"/>
        <v>2.839674837463936</v>
      </c>
      <c r="AV31" s="31">
        <f t="shared" si="22"/>
        <v>2.9940682013989726</v>
      </c>
      <c r="AW31" s="31">
        <f t="shared" si="22"/>
        <v>3.1489638058799314</v>
      </c>
      <c r="AX31" s="31">
        <f t="shared" si="22"/>
        <v>3.2442835634970644</v>
      </c>
      <c r="AY31" s="32">
        <f t="shared" si="22"/>
        <v>3.610713068409626</v>
      </c>
      <c r="AZ31" s="30">
        <f t="shared" si="22"/>
        <v>2.4111176364000073</v>
      </c>
      <c r="BA31" s="31">
        <f t="shared" si="22"/>
        <v>2.8981197518460187</v>
      </c>
      <c r="BB31" s="31">
        <f t="shared" si="22"/>
        <v>2.9936220519963586</v>
      </c>
      <c r="BC31" s="31">
        <f t="shared" si="22"/>
        <v>3.0288548103055062</v>
      </c>
      <c r="BD31" s="31">
        <f t="shared" si="22"/>
        <v>2.9731800660709089</v>
      </c>
      <c r="BE31" s="31">
        <f t="shared" si="22"/>
        <v>2.8869244785117449</v>
      </c>
      <c r="BF31" s="31">
        <f t="shared" si="22"/>
        <v>2.8308147328110262</v>
      </c>
      <c r="BG31" s="31">
        <f t="shared" si="22"/>
        <v>2.8964683342132158</v>
      </c>
      <c r="BH31" s="31">
        <f t="shared" si="22"/>
        <v>3.0539495654269539</v>
      </c>
      <c r="BI31" s="31">
        <f t="shared" si="22"/>
        <v>3.2119430819975312</v>
      </c>
      <c r="BJ31" s="31">
        <f t="shared" si="22"/>
        <v>3.3091692347670074</v>
      </c>
      <c r="BK31" s="32">
        <f t="shared" si="22"/>
        <v>3.6829273297778196</v>
      </c>
      <c r="BL31" s="12"/>
      <c r="BM31" s="37">
        <f>SUMIF($D$2:$BK$2,BM$2,$D31:$BK31)</f>
        <v>33.422040115774095</v>
      </c>
      <c r="BN31" s="12"/>
      <c r="BO31" s="37">
        <f>SUMIF($D$2:$BK$2,BO$2,$D31:$BK31)</f>
        <v>34.090480918089604</v>
      </c>
      <c r="BP31" s="12"/>
      <c r="BQ31" s="37">
        <f>SUMIF($D$2:$BK$2,BQ$2,$D31:$BK31)</f>
        <v>34.772290536451429</v>
      </c>
      <c r="BR31" s="12"/>
      <c r="BS31" s="37">
        <f>SUMIF($D$2:$BK$2,BS$2,$D31:$BK31)</f>
        <v>35.46773634718047</v>
      </c>
      <c r="BT31" s="12"/>
      <c r="BU31" s="37">
        <f>SUMIF($D$2:$BK$2,BU$2,$D31:$BK31)</f>
        <v>36.1770910741241</v>
      </c>
      <c r="BV31" s="12"/>
      <c r="BW31" s="37">
        <f>BM31+BO31+BQ31+BS31+BU31</f>
        <v>173.9296389916197</v>
      </c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</row>
    <row r="32" spans="1:87" ht="16" x14ac:dyDescent="0.2">
      <c r="A32" s="120"/>
      <c r="B32" s="36"/>
      <c r="C32" s="29"/>
      <c r="D32" s="3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29"/>
      <c r="P32" s="36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29"/>
      <c r="AB32" s="36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29"/>
      <c r="AN32" s="36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29"/>
      <c r="AZ32" s="36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29"/>
      <c r="BL32" s="12"/>
      <c r="BM32" s="38"/>
      <c r="BN32" s="12"/>
      <c r="BO32" s="38"/>
      <c r="BP32" s="12"/>
      <c r="BQ32" s="38"/>
      <c r="BR32" s="12"/>
      <c r="BS32" s="38"/>
      <c r="BT32" s="12"/>
      <c r="BU32" s="38"/>
      <c r="BV32" s="12"/>
      <c r="BW32" s="38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</row>
    <row r="33" spans="1:87" ht="16" x14ac:dyDescent="0.2">
      <c r="A33" s="120"/>
      <c r="B33" s="59" t="s">
        <v>42</v>
      </c>
      <c r="C33" s="29" t="s">
        <v>67</v>
      </c>
      <c r="D33" s="79">
        <v>0.01</v>
      </c>
      <c r="E33" s="80">
        <v>0.01</v>
      </c>
      <c r="F33" s="80">
        <v>0.01</v>
      </c>
      <c r="G33" s="80">
        <v>0.01</v>
      </c>
      <c r="H33" s="80">
        <v>0.01</v>
      </c>
      <c r="I33" s="80">
        <v>0.01</v>
      </c>
      <c r="J33" s="80">
        <v>0.01</v>
      </c>
      <c r="K33" s="80">
        <v>0.01</v>
      </c>
      <c r="L33" s="80">
        <v>0.01</v>
      </c>
      <c r="M33" s="80">
        <v>0.01</v>
      </c>
      <c r="N33" s="80">
        <v>0.01</v>
      </c>
      <c r="O33" s="81">
        <v>0.01</v>
      </c>
      <c r="P33" s="79">
        <v>0.01</v>
      </c>
      <c r="Q33" s="80">
        <v>0.01</v>
      </c>
      <c r="R33" s="80">
        <v>0.01</v>
      </c>
      <c r="S33" s="80">
        <v>0.01</v>
      </c>
      <c r="T33" s="80">
        <v>0.01</v>
      </c>
      <c r="U33" s="80">
        <v>0.01</v>
      </c>
      <c r="V33" s="80">
        <v>0.01</v>
      </c>
      <c r="W33" s="80">
        <v>0.01</v>
      </c>
      <c r="X33" s="80">
        <v>0.01</v>
      </c>
      <c r="Y33" s="80">
        <v>0.01</v>
      </c>
      <c r="Z33" s="80">
        <v>0.01</v>
      </c>
      <c r="AA33" s="81">
        <v>0.01</v>
      </c>
      <c r="AB33" s="79">
        <v>0.01</v>
      </c>
      <c r="AC33" s="80">
        <v>0.01</v>
      </c>
      <c r="AD33" s="80">
        <v>0.01</v>
      </c>
      <c r="AE33" s="80">
        <v>0.01</v>
      </c>
      <c r="AF33" s="80">
        <v>0.01</v>
      </c>
      <c r="AG33" s="80">
        <v>0.01</v>
      </c>
      <c r="AH33" s="80">
        <v>0.01</v>
      </c>
      <c r="AI33" s="80">
        <v>0.01</v>
      </c>
      <c r="AJ33" s="80">
        <v>0.01</v>
      </c>
      <c r="AK33" s="80">
        <v>0.01</v>
      </c>
      <c r="AL33" s="80">
        <v>0.01</v>
      </c>
      <c r="AM33" s="81">
        <v>0.01</v>
      </c>
      <c r="AN33" s="79">
        <v>0.01</v>
      </c>
      <c r="AO33" s="80">
        <v>0.01</v>
      </c>
      <c r="AP33" s="80">
        <v>0.01</v>
      </c>
      <c r="AQ33" s="80">
        <v>0.01</v>
      </c>
      <c r="AR33" s="80">
        <v>0.01</v>
      </c>
      <c r="AS33" s="80">
        <v>0.01</v>
      </c>
      <c r="AT33" s="80">
        <v>0.01</v>
      </c>
      <c r="AU33" s="80">
        <v>0.01</v>
      </c>
      <c r="AV33" s="80">
        <v>0.01</v>
      </c>
      <c r="AW33" s="80">
        <v>0.01</v>
      </c>
      <c r="AX33" s="80">
        <v>0.01</v>
      </c>
      <c r="AY33" s="81">
        <v>0.01</v>
      </c>
      <c r="AZ33" s="79">
        <v>0.01</v>
      </c>
      <c r="BA33" s="80">
        <v>0.01</v>
      </c>
      <c r="BB33" s="80">
        <v>0.01</v>
      </c>
      <c r="BC33" s="80">
        <v>0.01</v>
      </c>
      <c r="BD33" s="80">
        <v>0.01</v>
      </c>
      <c r="BE33" s="80">
        <v>0.01</v>
      </c>
      <c r="BF33" s="80">
        <v>0.01</v>
      </c>
      <c r="BG33" s="80">
        <v>0.01</v>
      </c>
      <c r="BH33" s="80">
        <v>0.01</v>
      </c>
      <c r="BI33" s="80">
        <v>0.01</v>
      </c>
      <c r="BJ33" s="80">
        <v>0.01</v>
      </c>
      <c r="BK33" s="81">
        <v>0.01</v>
      </c>
      <c r="BL33" s="12"/>
      <c r="BM33" s="63">
        <f>AVERAGEIFS($D33:$BK33,$D$2:$BK$2,BM$2)</f>
        <v>9.9999999999999985E-3</v>
      </c>
      <c r="BN33" s="57"/>
      <c r="BO33" s="63">
        <v>0.29499999999999998</v>
      </c>
      <c r="BP33" s="57"/>
      <c r="BQ33" s="63">
        <v>0.29899999999999999</v>
      </c>
      <c r="BR33" s="57"/>
      <c r="BS33" s="63">
        <v>0.29899999999999999</v>
      </c>
      <c r="BT33" s="57"/>
      <c r="BU33" s="63">
        <v>0.29899999999999999</v>
      </c>
      <c r="BV33" s="57"/>
      <c r="BW33" s="63">
        <f>AVERAGE(BM33:BU33)</f>
        <v>0.2404</v>
      </c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</row>
    <row r="34" spans="1:87" ht="16" x14ac:dyDescent="0.2">
      <c r="A34" s="120"/>
      <c r="B34" s="58" t="s">
        <v>77</v>
      </c>
      <c r="C34" s="29"/>
      <c r="D34" s="82">
        <v>0.01</v>
      </c>
      <c r="E34" s="83">
        <v>0.01</v>
      </c>
      <c r="F34" s="83">
        <v>0.01</v>
      </c>
      <c r="G34" s="83">
        <v>0.01</v>
      </c>
      <c r="H34" s="83">
        <v>0.01</v>
      </c>
      <c r="I34" s="83">
        <v>0.01</v>
      </c>
      <c r="J34" s="83">
        <v>0.01</v>
      </c>
      <c r="K34" s="83">
        <v>0.01</v>
      </c>
      <c r="L34" s="83">
        <v>0.01</v>
      </c>
      <c r="M34" s="83">
        <v>0.01</v>
      </c>
      <c r="N34" s="83">
        <v>0.01</v>
      </c>
      <c r="O34" s="84">
        <v>0.01</v>
      </c>
      <c r="P34" s="82">
        <v>0.01</v>
      </c>
      <c r="Q34" s="83">
        <v>0.01</v>
      </c>
      <c r="R34" s="83">
        <v>0.01</v>
      </c>
      <c r="S34" s="83">
        <v>0.01</v>
      </c>
      <c r="T34" s="83">
        <v>0.01</v>
      </c>
      <c r="U34" s="83">
        <v>0.01</v>
      </c>
      <c r="V34" s="83">
        <v>0.01</v>
      </c>
      <c r="W34" s="83">
        <v>0.01</v>
      </c>
      <c r="X34" s="83">
        <v>0.01</v>
      </c>
      <c r="Y34" s="83">
        <v>0.01</v>
      </c>
      <c r="Z34" s="83">
        <v>0.01</v>
      </c>
      <c r="AA34" s="84">
        <v>0.01</v>
      </c>
      <c r="AB34" s="82">
        <v>0.01</v>
      </c>
      <c r="AC34" s="83">
        <v>0.01</v>
      </c>
      <c r="AD34" s="83">
        <v>0.01</v>
      </c>
      <c r="AE34" s="83">
        <v>0.01</v>
      </c>
      <c r="AF34" s="83">
        <v>0.01</v>
      </c>
      <c r="AG34" s="83">
        <v>0.01</v>
      </c>
      <c r="AH34" s="83">
        <v>0.01</v>
      </c>
      <c r="AI34" s="83">
        <v>0.01</v>
      </c>
      <c r="AJ34" s="83">
        <v>0.01</v>
      </c>
      <c r="AK34" s="83">
        <v>0.01</v>
      </c>
      <c r="AL34" s="83">
        <v>0.01</v>
      </c>
      <c r="AM34" s="84">
        <v>0.01</v>
      </c>
      <c r="AN34" s="82">
        <v>0.01</v>
      </c>
      <c r="AO34" s="83">
        <v>0.01</v>
      </c>
      <c r="AP34" s="83">
        <v>0.01</v>
      </c>
      <c r="AQ34" s="83">
        <v>0.01</v>
      </c>
      <c r="AR34" s="83">
        <v>0.01</v>
      </c>
      <c r="AS34" s="83">
        <v>0.01</v>
      </c>
      <c r="AT34" s="83">
        <v>0.01</v>
      </c>
      <c r="AU34" s="83">
        <v>0.01</v>
      </c>
      <c r="AV34" s="83">
        <v>0.01</v>
      </c>
      <c r="AW34" s="83">
        <v>0.01</v>
      </c>
      <c r="AX34" s="83">
        <v>0.01</v>
      </c>
      <c r="AY34" s="84">
        <v>0.01</v>
      </c>
      <c r="AZ34" s="82">
        <v>0.01</v>
      </c>
      <c r="BA34" s="83">
        <v>0.01</v>
      </c>
      <c r="BB34" s="83">
        <v>0.01</v>
      </c>
      <c r="BC34" s="83">
        <v>0.01</v>
      </c>
      <c r="BD34" s="83">
        <v>0.01</v>
      </c>
      <c r="BE34" s="83">
        <v>0.01</v>
      </c>
      <c r="BF34" s="83">
        <v>0.01</v>
      </c>
      <c r="BG34" s="83">
        <v>0.01</v>
      </c>
      <c r="BH34" s="83">
        <v>0.01</v>
      </c>
      <c r="BI34" s="83">
        <v>0.01</v>
      </c>
      <c r="BJ34" s="83">
        <v>0.01</v>
      </c>
      <c r="BK34" s="84">
        <v>0.01</v>
      </c>
      <c r="BL34" s="12"/>
      <c r="BM34" s="67">
        <f>AVERAGEIFS($D34:$BK34,$D$2:$BK$2,BM$2)</f>
        <v>9.9999999999999985E-3</v>
      </c>
      <c r="BN34" s="12"/>
      <c r="BO34" s="67">
        <v>0.30099999999999999</v>
      </c>
      <c r="BP34" s="12"/>
      <c r="BQ34" s="67">
        <v>0.30499999999999999</v>
      </c>
      <c r="BR34" s="12"/>
      <c r="BS34" s="67">
        <v>0.30499999999999999</v>
      </c>
      <c r="BT34" s="12"/>
      <c r="BU34" s="67">
        <v>0.30499999999999999</v>
      </c>
      <c r="BV34" s="57"/>
      <c r="BW34" s="67">
        <f>AVERAGE(BM34:BU34)</f>
        <v>0.2452</v>
      </c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</row>
    <row r="35" spans="1:87" ht="16" x14ac:dyDescent="0.2">
      <c r="A35" s="120"/>
      <c r="B35" s="58" t="s">
        <v>78</v>
      </c>
      <c r="C35" s="29"/>
      <c r="D35" s="82">
        <v>0.01</v>
      </c>
      <c r="E35" s="83">
        <v>0.01</v>
      </c>
      <c r="F35" s="83">
        <v>0.01</v>
      </c>
      <c r="G35" s="83">
        <v>0.01</v>
      </c>
      <c r="H35" s="83">
        <v>0.01</v>
      </c>
      <c r="I35" s="83">
        <v>0.01</v>
      </c>
      <c r="J35" s="83">
        <v>0.01</v>
      </c>
      <c r="K35" s="83">
        <v>0.01</v>
      </c>
      <c r="L35" s="83">
        <v>0.01</v>
      </c>
      <c r="M35" s="83">
        <v>0.01</v>
      </c>
      <c r="N35" s="83">
        <v>0.01</v>
      </c>
      <c r="O35" s="84">
        <v>0.01</v>
      </c>
      <c r="P35" s="82">
        <v>0.01</v>
      </c>
      <c r="Q35" s="83">
        <v>0.01</v>
      </c>
      <c r="R35" s="83">
        <v>0.01</v>
      </c>
      <c r="S35" s="83">
        <v>0.01</v>
      </c>
      <c r="T35" s="83">
        <v>0.01</v>
      </c>
      <c r="U35" s="83">
        <v>0.01</v>
      </c>
      <c r="V35" s="83">
        <v>0.01</v>
      </c>
      <c r="W35" s="83">
        <v>0.01</v>
      </c>
      <c r="X35" s="83">
        <v>0.01</v>
      </c>
      <c r="Y35" s="83">
        <v>0.01</v>
      </c>
      <c r="Z35" s="83">
        <v>0.01</v>
      </c>
      <c r="AA35" s="84">
        <v>0.01</v>
      </c>
      <c r="AB35" s="82">
        <v>0.01</v>
      </c>
      <c r="AC35" s="83">
        <v>0.01</v>
      </c>
      <c r="AD35" s="83">
        <v>0.01</v>
      </c>
      <c r="AE35" s="83">
        <v>0.01</v>
      </c>
      <c r="AF35" s="83">
        <v>0.01</v>
      </c>
      <c r="AG35" s="83">
        <v>0.01</v>
      </c>
      <c r="AH35" s="83">
        <v>0.01</v>
      </c>
      <c r="AI35" s="83">
        <v>0.01</v>
      </c>
      <c r="AJ35" s="83">
        <v>0.01</v>
      </c>
      <c r="AK35" s="83">
        <v>0.01</v>
      </c>
      <c r="AL35" s="83">
        <v>0.01</v>
      </c>
      <c r="AM35" s="84">
        <v>0.01</v>
      </c>
      <c r="AN35" s="82">
        <v>0.01</v>
      </c>
      <c r="AO35" s="83">
        <v>0.01</v>
      </c>
      <c r="AP35" s="83">
        <v>0.01</v>
      </c>
      <c r="AQ35" s="83">
        <v>0.01</v>
      </c>
      <c r="AR35" s="83">
        <v>0.01</v>
      </c>
      <c r="AS35" s="83">
        <v>0.01</v>
      </c>
      <c r="AT35" s="83">
        <v>0.01</v>
      </c>
      <c r="AU35" s="83">
        <v>0.01</v>
      </c>
      <c r="AV35" s="83">
        <v>0.01</v>
      </c>
      <c r="AW35" s="83">
        <v>0.01</v>
      </c>
      <c r="AX35" s="83">
        <v>0.01</v>
      </c>
      <c r="AY35" s="84">
        <v>0.01</v>
      </c>
      <c r="AZ35" s="82">
        <v>0.01</v>
      </c>
      <c r="BA35" s="83">
        <v>0.01</v>
      </c>
      <c r="BB35" s="83">
        <v>0.01</v>
      </c>
      <c r="BC35" s="83">
        <v>0.01</v>
      </c>
      <c r="BD35" s="83">
        <v>0.01</v>
      </c>
      <c r="BE35" s="83">
        <v>0.01</v>
      </c>
      <c r="BF35" s="83">
        <v>0.01</v>
      </c>
      <c r="BG35" s="83">
        <v>0.01</v>
      </c>
      <c r="BH35" s="83">
        <v>0.01</v>
      </c>
      <c r="BI35" s="83">
        <v>0.01</v>
      </c>
      <c r="BJ35" s="83">
        <v>0.01</v>
      </c>
      <c r="BK35" s="84">
        <v>0.01</v>
      </c>
      <c r="BL35" s="12"/>
      <c r="BM35" s="67">
        <f>AVERAGEIFS($D35:$BK35,$D$2:$BK$2,BM$2)</f>
        <v>9.9999999999999985E-3</v>
      </c>
      <c r="BN35" s="12"/>
      <c r="BO35" s="67">
        <v>0.28599999999999998</v>
      </c>
      <c r="BP35" s="12"/>
      <c r="BQ35" s="67">
        <v>0.29199999999999998</v>
      </c>
      <c r="BR35" s="12"/>
      <c r="BS35" s="67">
        <v>0.29199999999999998</v>
      </c>
      <c r="BT35" s="12"/>
      <c r="BU35" s="67">
        <v>0.29199999999999998</v>
      </c>
      <c r="BV35" s="57"/>
      <c r="BW35" s="67">
        <f>AVERAGE(BM35:BU35)</f>
        <v>0.2344</v>
      </c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</row>
    <row r="36" spans="1:87" ht="16" x14ac:dyDescent="0.2">
      <c r="A36" s="120"/>
      <c r="B36" s="59"/>
      <c r="C36" s="29"/>
      <c r="D36" s="3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29"/>
      <c r="P36" s="36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29"/>
      <c r="AB36" s="36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29"/>
      <c r="AN36" s="36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29"/>
      <c r="AZ36" s="36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29"/>
      <c r="BL36" s="12"/>
      <c r="BM36" s="38"/>
      <c r="BN36" s="12"/>
      <c r="BO36" s="38"/>
      <c r="BP36" s="12"/>
      <c r="BQ36" s="38"/>
      <c r="BR36" s="12"/>
      <c r="BS36" s="38"/>
      <c r="BT36" s="12"/>
      <c r="BU36" s="38"/>
      <c r="BV36" s="12"/>
      <c r="BW36" s="38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</row>
    <row r="37" spans="1:87" ht="16" x14ac:dyDescent="0.2">
      <c r="A37" s="120"/>
      <c r="B37" s="59" t="s">
        <v>83</v>
      </c>
      <c r="C37" s="29" t="s">
        <v>84</v>
      </c>
      <c r="D37" s="85">
        <f t="shared" ref="D37:AI37" si="23">D29*(1-D33)</f>
        <v>5.0492970000000001</v>
      </c>
      <c r="E37" s="86">
        <f t="shared" si="23"/>
        <v>6.069163589415651</v>
      </c>
      <c r="F37" s="86">
        <f t="shared" si="23"/>
        <v>6.2691619098469182</v>
      </c>
      <c r="G37" s="87">
        <f t="shared" si="23"/>
        <v>6.34294539437973</v>
      </c>
      <c r="H37" s="87">
        <f t="shared" si="23"/>
        <v>6.2263528587043453</v>
      </c>
      <c r="I37" s="87">
        <f t="shared" si="23"/>
        <v>6.045718752379277</v>
      </c>
      <c r="J37" s="87">
        <f t="shared" si="23"/>
        <v>5.9282152484604831</v>
      </c>
      <c r="K37" s="87">
        <f t="shared" si="23"/>
        <v>6.0657052355082453</v>
      </c>
      <c r="L37" s="87">
        <f t="shared" si="23"/>
        <v>6.3954981482717574</v>
      </c>
      <c r="M37" s="87">
        <f t="shared" si="23"/>
        <v>6.7263638751014057</v>
      </c>
      <c r="N37" s="87">
        <f t="shared" si="23"/>
        <v>6.9299722408190751</v>
      </c>
      <c r="O37" s="88">
        <f t="shared" si="23"/>
        <v>7.7126862815498205</v>
      </c>
      <c r="P37" s="74">
        <f t="shared" si="23"/>
        <v>5.1502829400000039</v>
      </c>
      <c r="Q37" s="75">
        <f t="shared" si="23"/>
        <v>6.1905468612039671</v>
      </c>
      <c r="R37" s="75">
        <f t="shared" si="23"/>
        <v>6.3945451480438624</v>
      </c>
      <c r="S37" s="12">
        <f t="shared" si="23"/>
        <v>6.4698043022673293</v>
      </c>
      <c r="T37" s="12">
        <f t="shared" si="23"/>
        <v>6.3508799158784361</v>
      </c>
      <c r="U37" s="12">
        <f t="shared" si="23"/>
        <v>6.1666331274268664</v>
      </c>
      <c r="V37" s="12">
        <f t="shared" si="23"/>
        <v>6.0467795534296966</v>
      </c>
      <c r="W37" s="12">
        <f t="shared" si="23"/>
        <v>6.1870193402184155</v>
      </c>
      <c r="X37" s="12">
        <f t="shared" si="23"/>
        <v>6.523408111237198</v>
      </c>
      <c r="Y37" s="12">
        <f t="shared" si="23"/>
        <v>6.8608911526034397</v>
      </c>
      <c r="Z37" s="12">
        <f t="shared" si="23"/>
        <v>7.0685716856354643</v>
      </c>
      <c r="AA37" s="29">
        <f t="shared" si="23"/>
        <v>7.8669400071808226</v>
      </c>
      <c r="AB37" s="74">
        <f t="shared" si="23"/>
        <v>5.2532885988000082</v>
      </c>
      <c r="AC37" s="75">
        <f t="shared" si="23"/>
        <v>6.3143577984280519</v>
      </c>
      <c r="AD37" s="75">
        <f t="shared" si="23"/>
        <v>6.5224360510047443</v>
      </c>
      <c r="AE37" s="12">
        <f t="shared" si="23"/>
        <v>6.5992003883126804</v>
      </c>
      <c r="AF37" s="12">
        <f t="shared" si="23"/>
        <v>6.4778975141960098</v>
      </c>
      <c r="AG37" s="12">
        <f t="shared" si="23"/>
        <v>6.2899657899754082</v>
      </c>
      <c r="AH37" s="12">
        <f t="shared" si="23"/>
        <v>6.1677151444982954</v>
      </c>
      <c r="AI37" s="12">
        <f t="shared" si="23"/>
        <v>6.3107597270227878</v>
      </c>
      <c r="AJ37" s="12">
        <f t="shared" ref="AJ37:BK37" si="24">AJ29*(1-AJ33)</f>
        <v>6.6538762734619468</v>
      </c>
      <c r="AK37" s="12">
        <f t="shared" si="24"/>
        <v>6.9981089756555113</v>
      </c>
      <c r="AL37" s="12">
        <f t="shared" si="24"/>
        <v>7.2099431193481767</v>
      </c>
      <c r="AM37" s="29">
        <f t="shared" si="24"/>
        <v>8.0242788073244427</v>
      </c>
      <c r="AN37" s="74">
        <f t="shared" si="24"/>
        <v>5.3583543707760111</v>
      </c>
      <c r="AO37" s="75">
        <f t="shared" si="24"/>
        <v>6.4406449543966149</v>
      </c>
      <c r="AP37" s="75">
        <f t="shared" si="24"/>
        <v>6.6528847720248416</v>
      </c>
      <c r="AQ37" s="12">
        <f t="shared" si="24"/>
        <v>6.7311843960789384</v>
      </c>
      <c r="AR37" s="12">
        <f t="shared" si="24"/>
        <v>6.6074554644799326</v>
      </c>
      <c r="AS37" s="12">
        <f t="shared" si="24"/>
        <v>6.4157651057749208</v>
      </c>
      <c r="AT37" s="12">
        <f t="shared" si="24"/>
        <v>6.2910694473882645</v>
      </c>
      <c r="AU37" s="12">
        <f t="shared" si="24"/>
        <v>6.4369749215632481</v>
      </c>
      <c r="AV37" s="12">
        <f t="shared" si="24"/>
        <v>6.7869537989311892</v>
      </c>
      <c r="AW37" s="12">
        <f t="shared" si="24"/>
        <v>7.1380711551686264</v>
      </c>
      <c r="AX37" s="12">
        <f t="shared" si="24"/>
        <v>7.3541419817351441</v>
      </c>
      <c r="AY37" s="29">
        <f t="shared" si="24"/>
        <v>8.184764383470938</v>
      </c>
      <c r="AZ37" s="74">
        <f t="shared" si="24"/>
        <v>5.4655214581915352</v>
      </c>
      <c r="BA37" s="75">
        <f t="shared" si="24"/>
        <v>6.569457853484554</v>
      </c>
      <c r="BB37" s="75">
        <f t="shared" si="24"/>
        <v>6.7859424674653441</v>
      </c>
      <c r="BC37" s="12">
        <f t="shared" si="24"/>
        <v>6.8658080840005207</v>
      </c>
      <c r="BD37" s="12">
        <f t="shared" si="24"/>
        <v>6.7396045737695367</v>
      </c>
      <c r="BE37" s="12">
        <f t="shared" si="24"/>
        <v>6.5440804078904238</v>
      </c>
      <c r="BF37" s="12">
        <f t="shared" si="24"/>
        <v>6.4168908363360337</v>
      </c>
      <c r="BG37" s="12">
        <f t="shared" si="24"/>
        <v>6.5657144199945172</v>
      </c>
      <c r="BH37" s="12">
        <f t="shared" si="24"/>
        <v>6.9226928749098189</v>
      </c>
      <c r="BI37" s="12">
        <f t="shared" si="24"/>
        <v>7.2808325782720038</v>
      </c>
      <c r="BJ37" s="12">
        <f t="shared" si="24"/>
        <v>7.5012248213698527</v>
      </c>
      <c r="BK37" s="29">
        <f t="shared" si="24"/>
        <v>8.3484596711403629</v>
      </c>
      <c r="BL37" s="12"/>
      <c r="BM37" s="78">
        <f>SUMIF($D$2:$BK$2,BM$2,$D37:$BK37)</f>
        <v>75.761080534436701</v>
      </c>
      <c r="BN37" s="27"/>
      <c r="BO37" s="78">
        <f>SUMIF($D$2:$BK$2,BO$2,$D37:$BK37)</f>
        <v>77.276302145125499</v>
      </c>
      <c r="BP37" s="27"/>
      <c r="BQ37" s="78">
        <f>SUMIF($D$2:$BK$2,BQ$2,$D37:$BK37)</f>
        <v>78.821828188028064</v>
      </c>
      <c r="BR37" s="27"/>
      <c r="BS37" s="78">
        <f>SUMIF($D$2:$BK$2,BS$2,$D37:$BK37)</f>
        <v>80.398264751788659</v>
      </c>
      <c r="BT37" s="27"/>
      <c r="BU37" s="78">
        <f>SUMIF($D$2:$BK$2,BU$2,$D37:$BK37)</f>
        <v>82.006230046824513</v>
      </c>
      <c r="BV37" s="57"/>
      <c r="BW37" s="78">
        <f>BM37+BO37+BQ37+BS37+BU37</f>
        <v>394.26370566620341</v>
      </c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</row>
    <row r="38" spans="1:87" ht="16" x14ac:dyDescent="0.2">
      <c r="A38" s="120"/>
      <c r="B38" s="58" t="s">
        <v>77</v>
      </c>
      <c r="C38" s="29"/>
      <c r="D38" s="30">
        <f>D30*(1-D34)</f>
        <v>2.8440719999999997</v>
      </c>
      <c r="E38" s="31">
        <f t="shared" ref="D38:AI38" si="25">E30*(1-E34)</f>
        <v>3.4185230593638174</v>
      </c>
      <c r="F38" s="31">
        <f t="shared" si="25"/>
        <v>3.5311743102578728</v>
      </c>
      <c r="G38" s="12">
        <f t="shared" si="25"/>
        <v>3.5727336684065816</v>
      </c>
      <c r="H38" s="12">
        <f t="shared" si="25"/>
        <v>3.5070616419594618</v>
      </c>
      <c r="I38" s="12">
        <f t="shared" si="25"/>
        <v>3.4053174973697984</v>
      </c>
      <c r="J38" s="12">
        <f t="shared" si="25"/>
        <v>3.3391323580529129</v>
      </c>
      <c r="K38" s="12">
        <f t="shared" si="25"/>
        <v>3.4165751035366716</v>
      </c>
      <c r="L38" s="12">
        <f t="shared" si="25"/>
        <v>3.6023345843097663</v>
      </c>
      <c r="M38" s="12">
        <f t="shared" si="25"/>
        <v>3.788698339390097</v>
      </c>
      <c r="N38" s="12">
        <f t="shared" si="25"/>
        <v>3.9033829879467943</v>
      </c>
      <c r="O38" s="29">
        <f t="shared" si="25"/>
        <v>4.3442552692265792</v>
      </c>
      <c r="P38" s="30">
        <f t="shared" si="25"/>
        <v>2.9009534400000012</v>
      </c>
      <c r="Q38" s="31">
        <f t="shared" si="25"/>
        <v>3.4868935205510958</v>
      </c>
      <c r="R38" s="31">
        <f t="shared" si="25"/>
        <v>3.6017977964630319</v>
      </c>
      <c r="S38" s="12">
        <f t="shared" si="25"/>
        <v>3.644188341774715</v>
      </c>
      <c r="T38" s="12">
        <f t="shared" si="25"/>
        <v>3.577202874798652</v>
      </c>
      <c r="U38" s="12">
        <f t="shared" si="25"/>
        <v>3.4734238473171968</v>
      </c>
      <c r="V38" s="12">
        <f t="shared" si="25"/>
        <v>3.4059150052139731</v>
      </c>
      <c r="W38" s="12">
        <f t="shared" si="25"/>
        <v>3.4849066056074069</v>
      </c>
      <c r="X38" s="12">
        <f t="shared" si="25"/>
        <v>3.6743812759959646</v>
      </c>
      <c r="Y38" s="12">
        <f t="shared" si="25"/>
        <v>3.8644723061779023</v>
      </c>
      <c r="Z38" s="12">
        <f t="shared" si="25"/>
        <v>3.9814506477057341</v>
      </c>
      <c r="AA38" s="29">
        <f t="shared" si="25"/>
        <v>4.4311403746111138</v>
      </c>
      <c r="AB38" s="30">
        <f t="shared" si="25"/>
        <v>2.9589725088000036</v>
      </c>
      <c r="AC38" s="31">
        <f t="shared" si="25"/>
        <v>3.5566313909621203</v>
      </c>
      <c r="AD38" s="31">
        <f t="shared" si="25"/>
        <v>3.6738337523922957</v>
      </c>
      <c r="AE38" s="12">
        <f t="shared" si="25"/>
        <v>3.7170721086102119</v>
      </c>
      <c r="AF38" s="12">
        <f t="shared" si="25"/>
        <v>3.6487469322946282</v>
      </c>
      <c r="AG38" s="12">
        <f t="shared" si="25"/>
        <v>3.5428923242635433</v>
      </c>
      <c r="AH38" s="12">
        <f t="shared" si="25"/>
        <v>3.474033305318255</v>
      </c>
      <c r="AI38" s="12">
        <f t="shared" si="25"/>
        <v>3.5546047377195578</v>
      </c>
      <c r="AJ38" s="12">
        <f t="shared" ref="AJ38:BK38" si="26">AJ30*(1-AJ34)</f>
        <v>3.7478689015158864</v>
      </c>
      <c r="AK38" s="12">
        <f t="shared" si="26"/>
        <v>3.9417617523014621</v>
      </c>
      <c r="AL38" s="12">
        <f t="shared" si="26"/>
        <v>4.0610796606598507</v>
      </c>
      <c r="AM38" s="29">
        <f t="shared" si="26"/>
        <v>4.5197631821033379</v>
      </c>
      <c r="AN38" s="30">
        <f t="shared" si="26"/>
        <v>3.0181519589760053</v>
      </c>
      <c r="AO38" s="31">
        <f t="shared" si="26"/>
        <v>3.6277640187813649</v>
      </c>
      <c r="AP38" s="31">
        <f t="shared" si="26"/>
        <v>3.7473104274401439</v>
      </c>
      <c r="AQ38" s="12">
        <f t="shared" si="26"/>
        <v>3.7914135507824192</v>
      </c>
      <c r="AR38" s="12">
        <f t="shared" si="26"/>
        <v>3.7217218709405233</v>
      </c>
      <c r="AS38" s="12">
        <f t="shared" si="26"/>
        <v>3.6137501707488164</v>
      </c>
      <c r="AT38" s="12">
        <f t="shared" si="26"/>
        <v>3.5435139714246229</v>
      </c>
      <c r="AU38" s="12">
        <f t="shared" si="26"/>
        <v>3.625696832473952</v>
      </c>
      <c r="AV38" s="12">
        <f t="shared" si="26"/>
        <v>3.8228262795462071</v>
      </c>
      <c r="AW38" s="12">
        <f t="shared" si="26"/>
        <v>4.0205969873474947</v>
      </c>
      <c r="AX38" s="12">
        <f t="shared" si="26"/>
        <v>4.1423012538730504</v>
      </c>
      <c r="AY38" s="29">
        <f t="shared" si="26"/>
        <v>4.6101584457454088</v>
      </c>
      <c r="AZ38" s="30">
        <f t="shared" si="26"/>
        <v>3.0785149981555282</v>
      </c>
      <c r="BA38" s="31">
        <f t="shared" si="26"/>
        <v>3.7003192991569955</v>
      </c>
      <c r="BB38" s="31">
        <f t="shared" si="26"/>
        <v>3.8222566359889494</v>
      </c>
      <c r="BC38" s="12">
        <f t="shared" si="26"/>
        <v>3.8672418217980695</v>
      </c>
      <c r="BD38" s="12">
        <f t="shared" si="26"/>
        <v>3.796156308359337</v>
      </c>
      <c r="BE38" s="12">
        <f t="shared" si="26"/>
        <v>3.6860251741637957</v>
      </c>
      <c r="BF38" s="12">
        <f t="shared" si="26"/>
        <v>3.6143842508531185</v>
      </c>
      <c r="BG38" s="12">
        <f t="shared" si="26"/>
        <v>3.6982107691234338</v>
      </c>
      <c r="BH38" s="12">
        <f t="shared" si="26"/>
        <v>3.8992828051371342</v>
      </c>
      <c r="BI38" s="12">
        <f t="shared" si="26"/>
        <v>4.1010089270944476</v>
      </c>
      <c r="BJ38" s="12">
        <f t="shared" si="26"/>
        <v>4.2251472789505149</v>
      </c>
      <c r="BK38" s="29">
        <f t="shared" si="26"/>
        <v>4.7023616146603207</v>
      </c>
      <c r="BL38" s="12"/>
      <c r="BM38" s="37">
        <f>SUMIF($D$2:$BK$2,BM$2,$D38:$BK38)</f>
        <v>42.673260819820342</v>
      </c>
      <c r="BN38" s="27"/>
      <c r="BO38" s="37">
        <f>SUMIF($D$2:$BK$2,BO$2,$D38:$BK38)</f>
        <v>43.526726036216786</v>
      </c>
      <c r="BP38" s="27"/>
      <c r="BQ38" s="37">
        <f>SUMIF($D$2:$BK$2,BQ$2,$D38:$BK38)</f>
        <v>44.397260556941156</v>
      </c>
      <c r="BR38" s="27"/>
      <c r="BS38" s="37">
        <f>SUMIF($D$2:$BK$2,BS$2,$D38:$BK38)</f>
        <v>45.285205768080004</v>
      </c>
      <c r="BT38" s="27"/>
      <c r="BU38" s="37">
        <f>SUMIF($D$2:$BK$2,BU$2,$D38:$BK38)</f>
        <v>46.190909883441641</v>
      </c>
      <c r="BV38" s="12"/>
      <c r="BW38" s="37">
        <f>BM38+BO38+BQ38+BS38+BU38</f>
        <v>222.07336306449992</v>
      </c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</row>
    <row r="39" spans="1:87" ht="16" x14ac:dyDescent="0.2">
      <c r="A39" s="120"/>
      <c r="B39" s="58" t="s">
        <v>78</v>
      </c>
      <c r="C39" s="29"/>
      <c r="D39" s="89">
        <f t="shared" ref="D39:AI39" si="27">D31*(1-D35)</f>
        <v>2.205225</v>
      </c>
      <c r="E39" s="90">
        <f t="shared" si="27"/>
        <v>2.6506405300518328</v>
      </c>
      <c r="F39" s="90">
        <f t="shared" si="27"/>
        <v>2.7379875995890459</v>
      </c>
      <c r="G39" s="87">
        <f t="shared" si="27"/>
        <v>2.7702117259731485</v>
      </c>
      <c r="H39" s="87">
        <f t="shared" si="27"/>
        <v>2.7192912167448835</v>
      </c>
      <c r="I39" s="87">
        <f t="shared" si="27"/>
        <v>2.6404012550094782</v>
      </c>
      <c r="J39" s="87">
        <f t="shared" si="27"/>
        <v>2.5890828904075698</v>
      </c>
      <c r="K39" s="87">
        <f t="shared" si="27"/>
        <v>2.6491301319715741</v>
      </c>
      <c r="L39" s="87">
        <f t="shared" si="27"/>
        <v>2.7931635639619916</v>
      </c>
      <c r="M39" s="87">
        <f t="shared" si="27"/>
        <v>2.9376655357113082</v>
      </c>
      <c r="N39" s="87">
        <f t="shared" si="27"/>
        <v>3.0265892528722809</v>
      </c>
      <c r="O39" s="88">
        <f t="shared" si="27"/>
        <v>3.3684310123232417</v>
      </c>
      <c r="P39" s="89">
        <f t="shared" si="27"/>
        <v>2.2493295000000018</v>
      </c>
      <c r="Q39" s="90">
        <f t="shared" si="27"/>
        <v>2.7036533406528718</v>
      </c>
      <c r="R39" s="90">
        <f t="shared" si="27"/>
        <v>2.7927473515808301</v>
      </c>
      <c r="S39" s="87">
        <f t="shared" si="27"/>
        <v>2.8256159604926139</v>
      </c>
      <c r="T39" s="87">
        <f t="shared" si="27"/>
        <v>2.7736770410797837</v>
      </c>
      <c r="U39" s="87">
        <f t="shared" si="27"/>
        <v>2.6932092801096701</v>
      </c>
      <c r="V39" s="87">
        <f t="shared" si="27"/>
        <v>2.6408645482157231</v>
      </c>
      <c r="W39" s="87">
        <f t="shared" si="27"/>
        <v>2.7021127346110081</v>
      </c>
      <c r="X39" s="87">
        <f t="shared" si="27"/>
        <v>2.8490268352412333</v>
      </c>
      <c r="Y39" s="87">
        <f t="shared" si="27"/>
        <v>2.996418846425537</v>
      </c>
      <c r="Z39" s="87">
        <f t="shared" si="27"/>
        <v>3.0871210379297298</v>
      </c>
      <c r="AA39" s="88">
        <f t="shared" si="27"/>
        <v>3.4357996325697089</v>
      </c>
      <c r="AB39" s="89">
        <f t="shared" si="27"/>
        <v>2.2943160900000041</v>
      </c>
      <c r="AC39" s="90">
        <f t="shared" si="27"/>
        <v>2.7577264074659316</v>
      </c>
      <c r="AD39" s="90">
        <f t="shared" si="27"/>
        <v>2.8486022986124482</v>
      </c>
      <c r="AE39" s="87">
        <f t="shared" si="27"/>
        <v>2.8821282797024685</v>
      </c>
      <c r="AF39" s="87">
        <f t="shared" si="27"/>
        <v>2.8291505819013816</v>
      </c>
      <c r="AG39" s="87">
        <f t="shared" si="27"/>
        <v>2.7470734657118654</v>
      </c>
      <c r="AH39" s="87">
        <f t="shared" si="27"/>
        <v>2.6936818391800399</v>
      </c>
      <c r="AI39" s="87">
        <f t="shared" si="27"/>
        <v>2.7561549893032304</v>
      </c>
      <c r="AJ39" s="87">
        <f t="shared" ref="AJ39:BK39" si="28">AJ31*(1-AJ35)</f>
        <v>2.9060073719460604</v>
      </c>
      <c r="AK39" s="87">
        <f t="shared" si="28"/>
        <v>3.0563472233540492</v>
      </c>
      <c r="AL39" s="87">
        <f t="shared" si="28"/>
        <v>3.148863458688326</v>
      </c>
      <c r="AM39" s="88">
        <f t="shared" si="28"/>
        <v>3.5045156252211052</v>
      </c>
      <c r="AN39" s="89">
        <f t="shared" si="28"/>
        <v>2.3402024118000053</v>
      </c>
      <c r="AO39" s="90">
        <f t="shared" si="28"/>
        <v>2.8128809356152509</v>
      </c>
      <c r="AP39" s="90">
        <f t="shared" si="28"/>
        <v>2.9055743445846982</v>
      </c>
      <c r="AQ39" s="87">
        <f t="shared" si="28"/>
        <v>2.9397708452965197</v>
      </c>
      <c r="AR39" s="87">
        <f t="shared" si="28"/>
        <v>2.8857335935394102</v>
      </c>
      <c r="AS39" s="87">
        <f t="shared" si="28"/>
        <v>2.8020149350261043</v>
      </c>
      <c r="AT39" s="87">
        <f t="shared" si="28"/>
        <v>2.747555475963642</v>
      </c>
      <c r="AU39" s="87">
        <f t="shared" si="28"/>
        <v>2.8112780890892966</v>
      </c>
      <c r="AV39" s="87">
        <f t="shared" si="28"/>
        <v>2.964127519384983</v>
      </c>
      <c r="AW39" s="87">
        <f t="shared" si="28"/>
        <v>3.1174741678211322</v>
      </c>
      <c r="AX39" s="87">
        <f t="shared" si="28"/>
        <v>3.2118407278620937</v>
      </c>
      <c r="AY39" s="88">
        <f t="shared" si="28"/>
        <v>3.5746059377255297</v>
      </c>
      <c r="AZ39" s="89">
        <f t="shared" si="28"/>
        <v>2.387006460036007</v>
      </c>
      <c r="BA39" s="90">
        <f t="shared" si="28"/>
        <v>2.8691385543275585</v>
      </c>
      <c r="BB39" s="90">
        <f t="shared" si="28"/>
        <v>2.9636858314763947</v>
      </c>
      <c r="BC39" s="87">
        <f t="shared" si="28"/>
        <v>2.9985662622024511</v>
      </c>
      <c r="BD39" s="87">
        <f t="shared" si="28"/>
        <v>2.9434482654101997</v>
      </c>
      <c r="BE39" s="87">
        <f t="shared" si="28"/>
        <v>2.8580552337266276</v>
      </c>
      <c r="BF39" s="87">
        <f t="shared" si="28"/>
        <v>2.8025065854829161</v>
      </c>
      <c r="BG39" s="87">
        <f t="shared" si="28"/>
        <v>2.8675036508710838</v>
      </c>
      <c r="BH39" s="87">
        <f t="shared" si="28"/>
        <v>3.0234100697726842</v>
      </c>
      <c r="BI39" s="87">
        <f t="shared" si="28"/>
        <v>3.1798236511775557</v>
      </c>
      <c r="BJ39" s="87">
        <f t="shared" si="28"/>
        <v>3.2760775424193374</v>
      </c>
      <c r="BK39" s="88">
        <f t="shared" si="28"/>
        <v>3.6460980564800414</v>
      </c>
      <c r="BL39" s="12"/>
      <c r="BM39" s="37">
        <f>SUMIF($D$2:$BK$2,BM$2,$D39:$BK39)</f>
        <v>33.087819714616359</v>
      </c>
      <c r="BN39" s="12"/>
      <c r="BO39" s="37">
        <f>SUMIF($D$2:$BK$2,BO$2,$D39:$BK39)</f>
        <v>33.74957610890872</v>
      </c>
      <c r="BP39" s="12"/>
      <c r="BQ39" s="37">
        <f>SUMIF($D$2:$BK$2,BQ$2,$D39:$BK39)</f>
        <v>34.424567631086909</v>
      </c>
      <c r="BR39" s="12"/>
      <c r="BS39" s="37">
        <f>SUMIF($D$2:$BK$2,BS$2,$D39:$BK39)</f>
        <v>35.113058983708669</v>
      </c>
      <c r="BT39" s="12"/>
      <c r="BU39" s="37">
        <f>SUMIF($D$2:$BK$2,BU$2,$D39:$BK39)</f>
        <v>35.815320163382857</v>
      </c>
      <c r="BV39" s="12"/>
      <c r="BW39" s="37">
        <f>BM39+BO39+BQ39+BS39+BU39</f>
        <v>172.19034260170352</v>
      </c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</row>
    <row r="40" spans="1:87" ht="16" x14ac:dyDescent="0.2">
      <c r="A40" s="120"/>
      <c r="B40" s="59"/>
      <c r="C40" s="29"/>
      <c r="D40" s="3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29"/>
      <c r="P40" s="36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29"/>
      <c r="AB40" s="36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29"/>
      <c r="AN40" s="36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29"/>
      <c r="AZ40" s="36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29"/>
      <c r="BL40" s="12"/>
      <c r="BM40" s="38"/>
      <c r="BN40" s="12"/>
      <c r="BO40" s="38"/>
      <c r="BP40" s="12"/>
      <c r="BQ40" s="38"/>
      <c r="BR40" s="12"/>
      <c r="BS40" s="38"/>
      <c r="BT40" s="12"/>
      <c r="BU40" s="38"/>
      <c r="BV40" s="12"/>
      <c r="BW40" s="38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</row>
    <row r="41" spans="1:87" ht="16" x14ac:dyDescent="0.2">
      <c r="A41" s="120"/>
      <c r="B41" s="59" t="s">
        <v>85</v>
      </c>
      <c r="C41" s="29" t="s">
        <v>86</v>
      </c>
      <c r="D41" s="146">
        <f t="shared" ref="D41:AI41" si="29">D42+D43</f>
        <v>2.5246484999999997E-3</v>
      </c>
      <c r="E41" s="147">
        <f t="shared" si="29"/>
        <v>3.0469450565710704E-3</v>
      </c>
      <c r="F41" s="147">
        <f t="shared" si="29"/>
        <v>3.1601743258576308E-3</v>
      </c>
      <c r="G41" s="147">
        <f t="shared" si="29"/>
        <v>3.2103937536150772E-3</v>
      </c>
      <c r="H41" s="147">
        <f t="shared" si="29"/>
        <v>3.1642211809154229E-3</v>
      </c>
      <c r="I41" s="147">
        <f t="shared" si="29"/>
        <v>3.0849406897880479E-3</v>
      </c>
      <c r="J41" s="147">
        <f t="shared" si="29"/>
        <v>3.0373064890492768E-3</v>
      </c>
      <c r="K41" s="147">
        <f t="shared" si="29"/>
        <v>3.1204105001609258E-3</v>
      </c>
      <c r="L41" s="147">
        <f t="shared" si="29"/>
        <v>3.3034716282973661E-3</v>
      </c>
      <c r="M41" s="147">
        <f t="shared" si="29"/>
        <v>3.4885289888643969E-3</v>
      </c>
      <c r="N41" s="147">
        <f t="shared" si="29"/>
        <v>3.6087703719067366E-3</v>
      </c>
      <c r="O41" s="148">
        <f t="shared" si="29"/>
        <v>4.0327304547548995E-3</v>
      </c>
      <c r="P41" s="146">
        <f t="shared" si="29"/>
        <v>2.7038985435000043E-3</v>
      </c>
      <c r="Q41" s="147">
        <f t="shared" si="29"/>
        <v>3.2632781555876223E-3</v>
      </c>
      <c r="R41" s="147">
        <f t="shared" si="29"/>
        <v>3.3845467029935284E-3</v>
      </c>
      <c r="S41" s="147">
        <f t="shared" si="29"/>
        <v>3.4383317101217528E-3</v>
      </c>
      <c r="T41" s="147">
        <f t="shared" si="29"/>
        <v>3.3888808847604228E-3</v>
      </c>
      <c r="U41" s="147">
        <f t="shared" si="29"/>
        <v>3.3039714787630051E-3</v>
      </c>
      <c r="V41" s="147">
        <f t="shared" si="29"/>
        <v>3.2529552497717806E-3</v>
      </c>
      <c r="W41" s="147">
        <f t="shared" si="29"/>
        <v>3.341959645672357E-3</v>
      </c>
      <c r="X41" s="147">
        <f t="shared" si="29"/>
        <v>3.5380181139064854E-3</v>
      </c>
      <c r="Y41" s="147">
        <f t="shared" si="29"/>
        <v>3.7362145470737763E-3</v>
      </c>
      <c r="Z41" s="147">
        <f t="shared" si="29"/>
        <v>3.864993068312123E-3</v>
      </c>
      <c r="AA41" s="148">
        <f t="shared" si="29"/>
        <v>4.3190543170425044E-3</v>
      </c>
      <c r="AB41" s="146">
        <f t="shared" si="29"/>
        <v>2.8958753400885094E-3</v>
      </c>
      <c r="AC41" s="147">
        <f t="shared" si="29"/>
        <v>3.4949709046343492E-3</v>
      </c>
      <c r="AD41" s="147">
        <f t="shared" si="29"/>
        <v>3.6248495189060751E-3</v>
      </c>
      <c r="AE41" s="147">
        <f t="shared" si="29"/>
        <v>3.6824532615404039E-3</v>
      </c>
      <c r="AF41" s="147">
        <f t="shared" si="29"/>
        <v>3.6294914275784192E-3</v>
      </c>
      <c r="AG41" s="147">
        <f t="shared" si="29"/>
        <v>3.5385534537551839E-3</v>
      </c>
      <c r="AH41" s="147">
        <f t="shared" si="29"/>
        <v>3.4839150725055833E-3</v>
      </c>
      <c r="AI41" s="147">
        <f t="shared" si="29"/>
        <v>3.5792387805151002E-3</v>
      </c>
      <c r="AJ41" s="147">
        <f t="shared" ref="AJ41:BK41" si="30">AJ42+AJ43</f>
        <v>3.7892173999938515E-3</v>
      </c>
      <c r="AK41" s="147">
        <f t="shared" si="30"/>
        <v>4.001485779916018E-3</v>
      </c>
      <c r="AL41" s="147">
        <f t="shared" si="30"/>
        <v>4.1394075761622875E-3</v>
      </c>
      <c r="AM41" s="148">
        <f t="shared" si="30"/>
        <v>4.6257071735525263E-3</v>
      </c>
      <c r="AN41" s="146">
        <f t="shared" si="30"/>
        <v>3.1014824892347968E-3</v>
      </c>
      <c r="AO41" s="147">
        <f t="shared" si="30"/>
        <v>3.7431138388633917E-3</v>
      </c>
      <c r="AP41" s="147">
        <f t="shared" si="30"/>
        <v>3.88221383474841E-3</v>
      </c>
      <c r="AQ41" s="147">
        <f t="shared" si="30"/>
        <v>3.9439074431097771E-3</v>
      </c>
      <c r="AR41" s="147">
        <f t="shared" si="30"/>
        <v>3.8871853189364918E-3</v>
      </c>
      <c r="AS41" s="147">
        <f t="shared" si="30"/>
        <v>3.7897907489718059E-3</v>
      </c>
      <c r="AT41" s="147">
        <f t="shared" si="30"/>
        <v>3.7312730426534834E-3</v>
      </c>
      <c r="AU41" s="147">
        <f t="shared" si="30"/>
        <v>3.8333647339316773E-3</v>
      </c>
      <c r="AV41" s="147">
        <f t="shared" si="30"/>
        <v>4.0582518353934199E-3</v>
      </c>
      <c r="AW41" s="147">
        <f t="shared" si="30"/>
        <v>4.2855912702900612E-3</v>
      </c>
      <c r="AX41" s="147">
        <f t="shared" si="30"/>
        <v>4.4333055140698156E-3</v>
      </c>
      <c r="AY41" s="148">
        <f t="shared" si="30"/>
        <v>4.9541323828747631E-3</v>
      </c>
      <c r="AZ41" s="146">
        <f t="shared" si="30"/>
        <v>3.3216877459704718E-3</v>
      </c>
      <c r="BA41" s="147">
        <f t="shared" si="30"/>
        <v>4.0088749214226985E-3</v>
      </c>
      <c r="BB41" s="147">
        <f t="shared" si="30"/>
        <v>4.1578510170155528E-3</v>
      </c>
      <c r="BC41" s="147">
        <f t="shared" si="30"/>
        <v>4.2239248715705757E-3</v>
      </c>
      <c r="BD41" s="147">
        <f t="shared" si="30"/>
        <v>4.1631754765809881E-3</v>
      </c>
      <c r="BE41" s="147">
        <f t="shared" si="30"/>
        <v>4.0588658921488097E-3</v>
      </c>
      <c r="BF41" s="147">
        <f t="shared" si="30"/>
        <v>3.9961934286818872E-3</v>
      </c>
      <c r="BG41" s="147">
        <f t="shared" si="30"/>
        <v>4.1055336300408318E-3</v>
      </c>
      <c r="BH41" s="147">
        <f t="shared" si="30"/>
        <v>4.3463877157063589E-3</v>
      </c>
      <c r="BI41" s="147">
        <f t="shared" si="30"/>
        <v>4.5898682504806627E-3</v>
      </c>
      <c r="BJ41" s="147">
        <f t="shared" si="30"/>
        <v>4.7480702055687791E-3</v>
      </c>
      <c r="BK41" s="148">
        <f t="shared" si="30"/>
        <v>5.3058757820588793E-3</v>
      </c>
      <c r="BL41" s="12"/>
      <c r="BM41" s="91">
        <f>SUMIF($D$2:$BK$2,BM$2,$D41:$BK41)</f>
        <v>3.8782541939780854E-2</v>
      </c>
      <c r="BN41" s="27"/>
      <c r="BO41" s="91">
        <f>SUMIF($D$2:$BK$2,BO$2,$D41:$BK41)</f>
        <v>4.1536102417505362E-2</v>
      </c>
      <c r="BP41" s="27"/>
      <c r="BQ41" s="91">
        <f>SUMIF($D$2:$BK$2,BQ$2,$D41:$BK41)</f>
        <v>4.4485165689148308E-2</v>
      </c>
      <c r="BR41" s="27"/>
      <c r="BS41" s="91">
        <f>SUMIF($D$2:$BK$2,BS$2,$D41:$BK41)</f>
        <v>4.7643612453077896E-2</v>
      </c>
      <c r="BT41" s="27"/>
      <c r="BU41" s="91">
        <f>SUMIF($D$2:$BK$2,BU$2,$D41:$BK41)</f>
        <v>5.1026308937246495E-2</v>
      </c>
      <c r="BV41" s="57"/>
      <c r="BW41" s="91">
        <f>BM41+BO41+BQ41+BS41+BU41</f>
        <v>0.22347373143675894</v>
      </c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</row>
    <row r="42" spans="1:87" ht="16" x14ac:dyDescent="0.2">
      <c r="A42" s="120"/>
      <c r="B42" s="58" t="s">
        <v>77</v>
      </c>
      <c r="C42" s="29"/>
      <c r="D42" s="149">
        <f t="shared" ref="D42:AI42" si="31">D38*D$10/1000000</f>
        <v>1.4220359999999998E-3</v>
      </c>
      <c r="E42" s="150">
        <f t="shared" si="31"/>
        <v>1.716225272732461E-3</v>
      </c>
      <c r="F42" s="150">
        <f t="shared" si="31"/>
        <v>1.7800029024417784E-3</v>
      </c>
      <c r="G42" s="150">
        <f t="shared" si="31"/>
        <v>1.8082895467688947E-3</v>
      </c>
      <c r="H42" s="150">
        <f t="shared" si="31"/>
        <v>1.7822823380063578E-3</v>
      </c>
      <c r="I42" s="150">
        <f t="shared" si="31"/>
        <v>1.7376267305105782E-3</v>
      </c>
      <c r="J42" s="150">
        <f t="shared" si="31"/>
        <v>1.7107962436995394E-3</v>
      </c>
      <c r="K42" s="150">
        <f t="shared" si="31"/>
        <v>1.7576054908264821E-3</v>
      </c>
      <c r="L42" s="150">
        <f t="shared" si="31"/>
        <v>1.8607166821113799E-3</v>
      </c>
      <c r="M42" s="150">
        <f t="shared" si="31"/>
        <v>1.9649522732407185E-3</v>
      </c>
      <c r="N42" s="150">
        <f t="shared" si="31"/>
        <v>2.0326795530485795E-3</v>
      </c>
      <c r="O42" s="151">
        <f t="shared" si="31"/>
        <v>2.2714797267650673E-3</v>
      </c>
      <c r="P42" s="149">
        <f t="shared" si="31"/>
        <v>1.5230005560000019E-3</v>
      </c>
      <c r="Q42" s="150">
        <f t="shared" si="31"/>
        <v>1.8380772670964687E-3</v>
      </c>
      <c r="R42" s="150">
        <f t="shared" si="31"/>
        <v>1.9063831085151474E-3</v>
      </c>
      <c r="S42" s="150">
        <f t="shared" si="31"/>
        <v>1.9366781045894888E-3</v>
      </c>
      <c r="T42" s="150">
        <f t="shared" si="31"/>
        <v>1.9088243840048114E-3</v>
      </c>
      <c r="U42" s="150">
        <f t="shared" si="31"/>
        <v>1.8609982283768324E-3</v>
      </c>
      <c r="V42" s="150">
        <f t="shared" si="31"/>
        <v>1.8322627770022096E-3</v>
      </c>
      <c r="W42" s="150">
        <f t="shared" si="31"/>
        <v>1.8823954806751651E-3</v>
      </c>
      <c r="X42" s="150">
        <f t="shared" si="31"/>
        <v>1.9928275665412917E-3</v>
      </c>
      <c r="Y42" s="150">
        <f t="shared" si="31"/>
        <v>2.1044638846408137E-3</v>
      </c>
      <c r="Z42" s="150">
        <f t="shared" si="31"/>
        <v>2.1769998013150336E-3</v>
      </c>
      <c r="AA42" s="151">
        <f t="shared" si="31"/>
        <v>2.4327547873653913E-3</v>
      </c>
      <c r="AB42" s="149">
        <f t="shared" si="31"/>
        <v>1.631133595476005E-3</v>
      </c>
      <c r="AC42" s="150">
        <f t="shared" si="31"/>
        <v>1.9685807530603209E-3</v>
      </c>
      <c r="AD42" s="150">
        <f t="shared" si="31"/>
        <v>2.0417363092197264E-3</v>
      </c>
      <c r="AE42" s="150">
        <f t="shared" si="31"/>
        <v>2.074182250015346E-3</v>
      </c>
      <c r="AF42" s="150">
        <f t="shared" si="31"/>
        <v>2.0443509152691568E-3</v>
      </c>
      <c r="AG42" s="150">
        <f t="shared" si="31"/>
        <v>1.9931291025915908E-3</v>
      </c>
      <c r="AH42" s="150">
        <f t="shared" si="31"/>
        <v>1.9623534341693697E-3</v>
      </c>
      <c r="AI42" s="150">
        <f t="shared" si="31"/>
        <v>2.0160455598031051E-3</v>
      </c>
      <c r="AJ42" s="150">
        <f t="shared" ref="AJ42:BK42" si="32">AJ38*AJ$10/1000000</f>
        <v>2.1343183237657261E-3</v>
      </c>
      <c r="AK42" s="150">
        <f t="shared" si="32"/>
        <v>2.2538808204503134E-3</v>
      </c>
      <c r="AL42" s="150">
        <f t="shared" si="32"/>
        <v>2.3315667872084028E-3</v>
      </c>
      <c r="AM42" s="151">
        <f t="shared" si="32"/>
        <v>2.6054803772683362E-3</v>
      </c>
      <c r="AN42" s="149">
        <f t="shared" si="32"/>
        <v>1.7469440807548033E-3</v>
      </c>
      <c r="AO42" s="150">
        <f t="shared" si="32"/>
        <v>2.1083499865276064E-3</v>
      </c>
      <c r="AP42" s="150">
        <f t="shared" si="32"/>
        <v>2.1866995871743294E-3</v>
      </c>
      <c r="AQ42" s="150">
        <f t="shared" si="32"/>
        <v>2.2214491897664386E-3</v>
      </c>
      <c r="AR42" s="150">
        <f t="shared" si="32"/>
        <v>2.1894998302532699E-3</v>
      </c>
      <c r="AS42" s="150">
        <f t="shared" si="32"/>
        <v>2.1346412688755959E-3</v>
      </c>
      <c r="AT42" s="150">
        <f t="shared" si="32"/>
        <v>2.1016805279953973E-3</v>
      </c>
      <c r="AU42" s="150">
        <f t="shared" si="32"/>
        <v>2.1591847945491285E-3</v>
      </c>
      <c r="AV42" s="150">
        <f t="shared" si="32"/>
        <v>2.2858549247530956E-3</v>
      </c>
      <c r="AW42" s="150">
        <f t="shared" si="32"/>
        <v>2.4139063587022892E-3</v>
      </c>
      <c r="AX42" s="150">
        <f t="shared" si="32"/>
        <v>2.4971080291002028E-3</v>
      </c>
      <c r="AY42" s="151">
        <f t="shared" si="32"/>
        <v>2.7904694840543923E-3</v>
      </c>
      <c r="AZ42" s="149">
        <f t="shared" si="32"/>
        <v>1.8709771104883969E-3</v>
      </c>
      <c r="BA42" s="150">
        <f t="shared" si="32"/>
        <v>2.2580428355710698E-3</v>
      </c>
      <c r="BB42" s="150">
        <f t="shared" si="32"/>
        <v>2.3419552578637097E-3</v>
      </c>
      <c r="BC42" s="150">
        <f t="shared" si="32"/>
        <v>2.3791720822398583E-3</v>
      </c>
      <c r="BD42" s="150">
        <f t="shared" si="32"/>
        <v>2.3449543182012555E-3</v>
      </c>
      <c r="BE42" s="150">
        <f t="shared" si="32"/>
        <v>2.2862007989657668E-3</v>
      </c>
      <c r="BF42" s="150">
        <f t="shared" si="32"/>
        <v>2.2508998454830744E-3</v>
      </c>
      <c r="BG42" s="150">
        <f t="shared" si="32"/>
        <v>2.3124869149621198E-3</v>
      </c>
      <c r="BH42" s="150">
        <f t="shared" si="32"/>
        <v>2.4481506244105693E-3</v>
      </c>
      <c r="BI42" s="150">
        <f t="shared" si="32"/>
        <v>2.585293710170156E-3</v>
      </c>
      <c r="BJ42" s="150">
        <f t="shared" si="32"/>
        <v>2.6744026991663214E-3</v>
      </c>
      <c r="BK42" s="151">
        <f t="shared" si="32"/>
        <v>2.9885928174222592E-3</v>
      </c>
      <c r="BL42" s="12"/>
      <c r="BM42" s="92">
        <f>SUMIF($D$2:$BK$2,BM$2,$D42:$BK42)</f>
        <v>2.1844692760151836E-2</v>
      </c>
      <c r="BN42" s="27"/>
      <c r="BO42" s="92">
        <f>SUMIF($D$2:$BK$2,BO$2,$D42:$BK42)</f>
        <v>2.3395665946122655E-2</v>
      </c>
      <c r="BP42" s="27"/>
      <c r="BQ42" s="92">
        <f>SUMIF($D$2:$BK$2,BQ$2,$D42:$BK42)</f>
        <v>2.50567582282974E-2</v>
      </c>
      <c r="BR42" s="27"/>
      <c r="BS42" s="92">
        <f>SUMIF($D$2:$BK$2,BS$2,$D42:$BK42)</f>
        <v>2.6835788062506555E-2</v>
      </c>
      <c r="BT42" s="27"/>
      <c r="BU42" s="92">
        <f>SUMIF($D$2:$BK$2,BU$2,$D42:$BK42)</f>
        <v>2.8741129014944557E-2</v>
      </c>
      <c r="BV42" s="12"/>
      <c r="BW42" s="92">
        <f>BM42+BO42+BQ42+BS42+BU42</f>
        <v>0.12587403401202299</v>
      </c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</row>
    <row r="43" spans="1:87" ht="16" x14ac:dyDescent="0.2">
      <c r="A43" s="120"/>
      <c r="B43" s="58" t="s">
        <v>78</v>
      </c>
      <c r="C43" s="41"/>
      <c r="D43" s="152">
        <f t="shared" ref="D43:AI43" si="33">D39*D$10/1000000</f>
        <v>1.1026124999999999E-3</v>
      </c>
      <c r="E43" s="153">
        <f t="shared" si="33"/>
        <v>1.3307197838386096E-3</v>
      </c>
      <c r="F43" s="153">
        <f t="shared" si="33"/>
        <v>1.3801714234158526E-3</v>
      </c>
      <c r="G43" s="153">
        <f t="shared" si="33"/>
        <v>1.4021042068461825E-3</v>
      </c>
      <c r="H43" s="153">
        <f t="shared" si="33"/>
        <v>1.3819388429090651E-3</v>
      </c>
      <c r="I43" s="153">
        <f t="shared" si="33"/>
        <v>1.3473139592774697E-3</v>
      </c>
      <c r="J43" s="153">
        <f t="shared" si="33"/>
        <v>1.3265102453497374E-3</v>
      </c>
      <c r="K43" s="153">
        <f t="shared" si="33"/>
        <v>1.3628050093344437E-3</v>
      </c>
      <c r="L43" s="153">
        <f t="shared" si="33"/>
        <v>1.4427549461859862E-3</v>
      </c>
      <c r="M43" s="153">
        <f t="shared" si="33"/>
        <v>1.5235767156236784E-3</v>
      </c>
      <c r="N43" s="153">
        <f t="shared" si="33"/>
        <v>1.5760908188581571E-3</v>
      </c>
      <c r="O43" s="154">
        <f t="shared" si="33"/>
        <v>1.7612507279898321E-3</v>
      </c>
      <c r="P43" s="152">
        <f t="shared" si="33"/>
        <v>1.1808979875000021E-3</v>
      </c>
      <c r="Q43" s="153">
        <f t="shared" si="33"/>
        <v>1.4252008884911536E-3</v>
      </c>
      <c r="R43" s="153">
        <f t="shared" si="33"/>
        <v>1.478163594478381E-3</v>
      </c>
      <c r="S43" s="153">
        <f t="shared" si="33"/>
        <v>1.501653605532264E-3</v>
      </c>
      <c r="T43" s="153">
        <f t="shared" si="33"/>
        <v>1.4800565007556114E-3</v>
      </c>
      <c r="U43" s="153">
        <f t="shared" si="33"/>
        <v>1.4429732503861727E-3</v>
      </c>
      <c r="V43" s="153">
        <f t="shared" si="33"/>
        <v>1.4206924727695712E-3</v>
      </c>
      <c r="W43" s="153">
        <f t="shared" si="33"/>
        <v>1.4595641649971919E-3</v>
      </c>
      <c r="X43" s="153">
        <f t="shared" si="33"/>
        <v>1.5451905473651939E-3</v>
      </c>
      <c r="Y43" s="153">
        <f t="shared" si="33"/>
        <v>1.6317506624329626E-3</v>
      </c>
      <c r="Z43" s="153">
        <f t="shared" si="33"/>
        <v>1.6879932669970896E-3</v>
      </c>
      <c r="AA43" s="154">
        <f t="shared" si="33"/>
        <v>1.8862995296771133E-3</v>
      </c>
      <c r="AB43" s="152">
        <f t="shared" si="33"/>
        <v>1.2647417446125047E-3</v>
      </c>
      <c r="AC43" s="153">
        <f t="shared" si="33"/>
        <v>1.5263901515740282E-3</v>
      </c>
      <c r="AD43" s="153">
        <f t="shared" si="33"/>
        <v>1.5831132096863487E-3</v>
      </c>
      <c r="AE43" s="153">
        <f t="shared" si="33"/>
        <v>1.6082710115250579E-3</v>
      </c>
      <c r="AF43" s="153">
        <f t="shared" si="33"/>
        <v>1.5851405123092626E-3</v>
      </c>
      <c r="AG43" s="153">
        <f t="shared" si="33"/>
        <v>1.5454243511635931E-3</v>
      </c>
      <c r="AH43" s="153">
        <f t="shared" si="33"/>
        <v>1.5215616383362136E-3</v>
      </c>
      <c r="AI43" s="153">
        <f t="shared" si="33"/>
        <v>1.5631932207119952E-3</v>
      </c>
      <c r="AJ43" s="153">
        <f t="shared" ref="AJ43:BK43" si="34">AJ39*AJ$10/1000000</f>
        <v>1.6548990762281252E-3</v>
      </c>
      <c r="AK43" s="153">
        <f t="shared" si="34"/>
        <v>1.7476049594657046E-3</v>
      </c>
      <c r="AL43" s="153">
        <f t="shared" si="34"/>
        <v>1.8078407889538849E-3</v>
      </c>
      <c r="AM43" s="154">
        <f t="shared" si="34"/>
        <v>2.0202267962841905E-3</v>
      </c>
      <c r="AN43" s="152">
        <f t="shared" si="34"/>
        <v>1.3545384084799937E-3</v>
      </c>
      <c r="AO43" s="153">
        <f t="shared" si="34"/>
        <v>1.6347638523357853E-3</v>
      </c>
      <c r="AP43" s="153">
        <f t="shared" si="34"/>
        <v>1.6955142475740808E-3</v>
      </c>
      <c r="AQ43" s="153">
        <f t="shared" si="34"/>
        <v>1.7224582533433386E-3</v>
      </c>
      <c r="AR43" s="153">
        <f t="shared" si="34"/>
        <v>1.6976854886832219E-3</v>
      </c>
      <c r="AS43" s="153">
        <f t="shared" si="34"/>
        <v>1.6551494800962103E-3</v>
      </c>
      <c r="AT43" s="153">
        <f t="shared" si="34"/>
        <v>1.6295925146580861E-3</v>
      </c>
      <c r="AU43" s="153">
        <f t="shared" si="34"/>
        <v>1.6741799393825486E-3</v>
      </c>
      <c r="AV43" s="153">
        <f t="shared" si="34"/>
        <v>1.7723969106403239E-3</v>
      </c>
      <c r="AW43" s="153">
        <f t="shared" si="34"/>
        <v>1.8716849115877718E-3</v>
      </c>
      <c r="AX43" s="153">
        <f t="shared" si="34"/>
        <v>1.9361974849696126E-3</v>
      </c>
      <c r="AY43" s="154">
        <f t="shared" si="34"/>
        <v>2.1636628988203708E-3</v>
      </c>
      <c r="AZ43" s="152">
        <f t="shared" si="34"/>
        <v>1.450710635482075E-3</v>
      </c>
      <c r="BA43" s="153">
        <f t="shared" si="34"/>
        <v>1.7508320858516287E-3</v>
      </c>
      <c r="BB43" s="153">
        <f t="shared" si="34"/>
        <v>1.815895759151843E-3</v>
      </c>
      <c r="BC43" s="153">
        <f t="shared" si="34"/>
        <v>1.8447527893307176E-3</v>
      </c>
      <c r="BD43" s="153">
        <f t="shared" si="34"/>
        <v>1.8182211583797324E-3</v>
      </c>
      <c r="BE43" s="153">
        <f t="shared" si="34"/>
        <v>1.772665093183043E-3</v>
      </c>
      <c r="BF43" s="153">
        <f t="shared" si="34"/>
        <v>1.7452935831988124E-3</v>
      </c>
      <c r="BG43" s="153">
        <f t="shared" si="34"/>
        <v>1.7930467150787117E-3</v>
      </c>
      <c r="BH43" s="153">
        <f t="shared" si="34"/>
        <v>1.8982370912957894E-3</v>
      </c>
      <c r="BI43" s="153">
        <f t="shared" si="34"/>
        <v>2.0045745403105063E-3</v>
      </c>
      <c r="BJ43" s="153">
        <f t="shared" si="34"/>
        <v>2.0736675064024581E-3</v>
      </c>
      <c r="BK43" s="154">
        <f t="shared" si="34"/>
        <v>2.3172829646366201E-3</v>
      </c>
      <c r="BL43" s="12"/>
      <c r="BM43" s="93">
        <f>SUMIF($D$2:$BK$2,BM$2,$D43:$BK43)</f>
        <v>1.6937849179629014E-2</v>
      </c>
      <c r="BN43" s="12"/>
      <c r="BO43" s="93">
        <f>SUMIF($D$2:$BK$2,BO$2,$D43:$BK43)</f>
        <v>1.8140436471382703E-2</v>
      </c>
      <c r="BP43" s="12"/>
      <c r="BQ43" s="93">
        <f>SUMIF($D$2:$BK$2,BQ$2,$D43:$BK43)</f>
        <v>1.9428407460850908E-2</v>
      </c>
      <c r="BR43" s="12"/>
      <c r="BS43" s="93">
        <f>SUMIF($D$2:$BK$2,BS$2,$D43:$BK43)</f>
        <v>2.0807824390571349E-2</v>
      </c>
      <c r="BT43" s="12"/>
      <c r="BU43" s="93">
        <f>SUMIF($D$2:$BK$2,BU$2,$D43:$BK43)</f>
        <v>2.2285179922301938E-2</v>
      </c>
      <c r="BV43" s="12"/>
      <c r="BW43" s="93">
        <f>BM43+BO43+BQ43+BS43+BU43</f>
        <v>9.7599697424735926E-2</v>
      </c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</row>
    <row r="44" spans="1:87" ht="16" x14ac:dyDescent="0.2">
      <c r="A44" s="124"/>
      <c r="B44" s="122"/>
      <c r="C44" s="118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</row>
    <row r="45" spans="1:87" ht="16" x14ac:dyDescent="0.2">
      <c r="A45" s="118"/>
      <c r="B45" s="95"/>
      <c r="C45" s="96"/>
      <c r="D45" s="42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1"/>
      <c r="P45" s="42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1"/>
      <c r="AB45" s="42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1"/>
      <c r="AN45" s="42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1"/>
      <c r="AZ45" s="42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1"/>
      <c r="BL45" s="94"/>
      <c r="BM45" s="97"/>
      <c r="BN45" s="94"/>
      <c r="BO45" s="97"/>
      <c r="BP45" s="94"/>
      <c r="BQ45" s="97"/>
      <c r="BR45" s="94"/>
      <c r="BS45" s="97"/>
      <c r="BT45" s="94"/>
      <c r="BU45" s="97"/>
      <c r="BV45" s="94"/>
      <c r="BW45" s="97"/>
      <c r="BX45" s="94"/>
      <c r="BY45" s="94"/>
      <c r="BZ45" s="94"/>
      <c r="CA45" s="94"/>
      <c r="CB45" s="94"/>
      <c r="CC45" s="94"/>
      <c r="CD45" s="94"/>
      <c r="CE45" s="94"/>
      <c r="CF45" s="94"/>
      <c r="CG45" s="94"/>
      <c r="CH45" s="94"/>
      <c r="CI45" s="94"/>
    </row>
    <row r="46" spans="1:87" ht="13" hidden="1" x14ac:dyDescent="0.15"/>
    <row r="47" spans="1:87" ht="13" hidden="1" x14ac:dyDescent="0.15"/>
    <row r="48" spans="1:87" ht="13" hidden="1" x14ac:dyDescent="0.15"/>
    <row r="49" ht="13" hidden="1" x14ac:dyDescent="0.15"/>
    <row r="50" ht="13" hidden="1" x14ac:dyDescent="0.15"/>
    <row r="51" ht="13" hidden="1" x14ac:dyDescent="0.15"/>
    <row r="52" ht="13" hidden="1" x14ac:dyDescent="0.15"/>
    <row r="53" ht="13" hidden="1" x14ac:dyDescent="0.15"/>
    <row r="54" ht="13" hidden="1" x14ac:dyDescent="0.15"/>
    <row r="55" ht="13" hidden="1" x14ac:dyDescent="0.15"/>
    <row r="56" ht="13" hidden="1" x14ac:dyDescent="0.15"/>
    <row r="57" ht="13" hidden="1" x14ac:dyDescent="0.15"/>
    <row r="58" ht="13" hidden="1" x14ac:dyDescent="0.15"/>
    <row r="59" ht="13" hidden="1" x14ac:dyDescent="0.15"/>
    <row r="60" ht="13" hidden="1" x14ac:dyDescent="0.15"/>
    <row r="61" ht="13" hidden="1" x14ac:dyDescent="0.15"/>
    <row r="62" ht="13" hidden="1" x14ac:dyDescent="0.15"/>
    <row r="63" ht="13" hidden="1" x14ac:dyDescent="0.15"/>
    <row r="64" ht="13" hidden="1" x14ac:dyDescent="0.15"/>
    <row r="65" ht="13" hidden="1" x14ac:dyDescent="0.15"/>
    <row r="66" ht="13" hidden="1" x14ac:dyDescent="0.15"/>
    <row r="67" ht="13" hidden="1" x14ac:dyDescent="0.15"/>
    <row r="68" ht="13" hidden="1" x14ac:dyDescent="0.15"/>
    <row r="69" ht="13" hidden="1" x14ac:dyDescent="0.15"/>
    <row r="70" ht="13" hidden="1" x14ac:dyDescent="0.15"/>
    <row r="71" ht="13" hidden="1" x14ac:dyDescent="0.15"/>
    <row r="72" ht="13" hidden="1" x14ac:dyDescent="0.15"/>
    <row r="73" ht="13" hidden="1" x14ac:dyDescent="0.15"/>
    <row r="74" ht="13" hidden="1" x14ac:dyDescent="0.15"/>
    <row r="75" ht="13" hidden="1" x14ac:dyDescent="0.15"/>
    <row r="76" ht="13" hidden="1" x14ac:dyDescent="0.15"/>
    <row r="77" ht="13" hidden="1" x14ac:dyDescent="0.15"/>
    <row r="78" ht="13" hidden="1" x14ac:dyDescent="0.15"/>
    <row r="79" ht="13" hidden="1" x14ac:dyDescent="0.15"/>
    <row r="80" ht="13" hidden="1" x14ac:dyDescent="0.15"/>
    <row r="81" ht="13" hidden="1" x14ac:dyDescent="0.15"/>
    <row r="82" ht="13" hidden="1" x14ac:dyDescent="0.15"/>
    <row r="83" ht="13" hidden="1" x14ac:dyDescent="0.15"/>
    <row r="84" ht="13" hidden="1" x14ac:dyDescent="0.15"/>
    <row r="85" ht="13" hidden="1" x14ac:dyDescent="0.15"/>
    <row r="86" ht="13" hidden="1" x14ac:dyDescent="0.15"/>
    <row r="87" ht="13" hidden="1" x14ac:dyDescent="0.15"/>
    <row r="88" ht="13" hidden="1" x14ac:dyDescent="0.15"/>
    <row r="89" ht="13" hidden="1" x14ac:dyDescent="0.15"/>
    <row r="90" ht="13" hidden="1" x14ac:dyDescent="0.15"/>
    <row r="91" ht="13" hidden="1" x14ac:dyDescent="0.15"/>
    <row r="92" ht="13" hidden="1" x14ac:dyDescent="0.15"/>
    <row r="93" ht="13" hidden="1" x14ac:dyDescent="0.15"/>
    <row r="94" ht="13" hidden="1" x14ac:dyDescent="0.15"/>
    <row r="95" ht="13" hidden="1" x14ac:dyDescent="0.15"/>
    <row r="96" ht="13" hidden="1" x14ac:dyDescent="0.15"/>
    <row r="97" ht="13" hidden="1" x14ac:dyDescent="0.15"/>
    <row r="98" ht="13" hidden="1" x14ac:dyDescent="0.15"/>
    <row r="99" ht="13" hidden="1" x14ac:dyDescent="0.15"/>
    <row r="100" ht="13" hidden="1" x14ac:dyDescent="0.15"/>
    <row r="101" ht="13" hidden="1" x14ac:dyDescent="0.15"/>
    <row r="102" ht="13" hidden="1" x14ac:dyDescent="0.15"/>
    <row r="103" ht="13" hidden="1" x14ac:dyDescent="0.15"/>
    <row r="104" ht="13" hidden="1" x14ac:dyDescent="0.15"/>
    <row r="105" ht="13" hidden="1" x14ac:dyDescent="0.15"/>
    <row r="106" ht="13" hidden="1" x14ac:dyDescent="0.15"/>
    <row r="107" ht="13" hidden="1" x14ac:dyDescent="0.15"/>
    <row r="108" ht="13" hidden="1" x14ac:dyDescent="0.15"/>
    <row r="109" ht="13" hidden="1" x14ac:dyDescent="0.15"/>
    <row r="110" ht="13" hidden="1" x14ac:dyDescent="0.15"/>
    <row r="111" ht="13" hidden="1" x14ac:dyDescent="0.15"/>
    <row r="112" ht="13" hidden="1" x14ac:dyDescent="0.15"/>
    <row r="113" ht="13" hidden="1" x14ac:dyDescent="0.15"/>
    <row r="114" ht="13" hidden="1" x14ac:dyDescent="0.15"/>
    <row r="115" ht="13" hidden="1" x14ac:dyDescent="0.15"/>
    <row r="116" ht="13" hidden="1" x14ac:dyDescent="0.15"/>
    <row r="117" ht="13" hidden="1" x14ac:dyDescent="0.15"/>
    <row r="118" ht="13" hidden="1" x14ac:dyDescent="0.15"/>
    <row r="119" ht="13" hidden="1" x14ac:dyDescent="0.15"/>
    <row r="120" ht="13" hidden="1" x14ac:dyDescent="0.15"/>
    <row r="121" ht="13" hidden="1" x14ac:dyDescent="0.15"/>
    <row r="122" ht="13" hidden="1" x14ac:dyDescent="0.15"/>
    <row r="123" ht="13" hidden="1" x14ac:dyDescent="0.15"/>
    <row r="124" ht="13" hidden="1" x14ac:dyDescent="0.15"/>
    <row r="125" ht="13" hidden="1" x14ac:dyDescent="0.15"/>
    <row r="126" ht="13" hidden="1" x14ac:dyDescent="0.15"/>
    <row r="127" ht="13" hidden="1" x14ac:dyDescent="0.15"/>
    <row r="128" ht="13" hidden="1" x14ac:dyDescent="0.15"/>
    <row r="129" ht="13" hidden="1" x14ac:dyDescent="0.15"/>
    <row r="130" ht="13" hidden="1" x14ac:dyDescent="0.15"/>
    <row r="131" ht="13" hidden="1" x14ac:dyDescent="0.15"/>
    <row r="132" ht="13" hidden="1" x14ac:dyDescent="0.15"/>
    <row r="133" ht="13" hidden="1" x14ac:dyDescent="0.15"/>
    <row r="134" ht="13" hidden="1" x14ac:dyDescent="0.15"/>
    <row r="135" ht="13" hidden="1" x14ac:dyDescent="0.15"/>
    <row r="136" ht="13" hidden="1" x14ac:dyDescent="0.15"/>
    <row r="137" ht="13" hidden="1" x14ac:dyDescent="0.15"/>
    <row r="138" ht="13" hidden="1" x14ac:dyDescent="0.15"/>
    <row r="139" ht="13" hidden="1" x14ac:dyDescent="0.15"/>
    <row r="140" ht="13" hidden="1" x14ac:dyDescent="0.15"/>
    <row r="141" ht="13" hidden="1" x14ac:dyDescent="0.15"/>
    <row r="142" ht="13" hidden="1" x14ac:dyDescent="0.15"/>
    <row r="143" ht="13" hidden="1" x14ac:dyDescent="0.15"/>
    <row r="144" ht="13" hidden="1" x14ac:dyDescent="0.15"/>
    <row r="145" ht="13" hidden="1" x14ac:dyDescent="0.15"/>
    <row r="146" ht="13" hidden="1" x14ac:dyDescent="0.15"/>
    <row r="147" ht="13" hidden="1" x14ac:dyDescent="0.15"/>
    <row r="148" ht="13" hidden="1" x14ac:dyDescent="0.15"/>
    <row r="149" ht="13" hidden="1" x14ac:dyDescent="0.15"/>
    <row r="150" ht="13" hidden="1" x14ac:dyDescent="0.15"/>
    <row r="151" ht="13" hidden="1" x14ac:dyDescent="0.15"/>
    <row r="152" ht="13" hidden="1" x14ac:dyDescent="0.15"/>
    <row r="153" ht="13" hidden="1" x14ac:dyDescent="0.15"/>
    <row r="154" ht="13" hidden="1" x14ac:dyDescent="0.15"/>
    <row r="155" ht="13" hidden="1" x14ac:dyDescent="0.15"/>
    <row r="156" ht="13" hidden="1" x14ac:dyDescent="0.15"/>
    <row r="157" ht="13" hidden="1" x14ac:dyDescent="0.15"/>
    <row r="158" ht="13" hidden="1" x14ac:dyDescent="0.15"/>
    <row r="159" ht="13" hidden="1" x14ac:dyDescent="0.15"/>
    <row r="160" ht="13" hidden="1" x14ac:dyDescent="0.15"/>
    <row r="161" ht="13" hidden="1" x14ac:dyDescent="0.15"/>
    <row r="162" ht="13" hidden="1" x14ac:dyDescent="0.15"/>
    <row r="163" ht="13" hidden="1" x14ac:dyDescent="0.15"/>
    <row r="164" ht="13" hidden="1" x14ac:dyDescent="0.15"/>
    <row r="165" ht="13" hidden="1" x14ac:dyDescent="0.15"/>
    <row r="166" ht="13" hidden="1" x14ac:dyDescent="0.15"/>
    <row r="167" ht="13" hidden="1" x14ac:dyDescent="0.15"/>
    <row r="168" ht="13" hidden="1" x14ac:dyDescent="0.15"/>
    <row r="169" ht="13" hidden="1" x14ac:dyDescent="0.15"/>
    <row r="170" ht="13" hidden="1" x14ac:dyDescent="0.15"/>
    <row r="171" ht="13" hidden="1" x14ac:dyDescent="0.15"/>
    <row r="172" ht="13" hidden="1" x14ac:dyDescent="0.15"/>
    <row r="173" ht="13" hidden="1" x14ac:dyDescent="0.15"/>
    <row r="174" ht="13" hidden="1" x14ac:dyDescent="0.15"/>
    <row r="175" ht="13" hidden="1" x14ac:dyDescent="0.15"/>
    <row r="176" ht="13" hidden="1" x14ac:dyDescent="0.15"/>
    <row r="177" ht="13" hidden="1" x14ac:dyDescent="0.15"/>
    <row r="178" ht="13" hidden="1" x14ac:dyDescent="0.15"/>
    <row r="179" ht="13" hidden="1" x14ac:dyDescent="0.15"/>
    <row r="180" ht="13" hidden="1" x14ac:dyDescent="0.15"/>
    <row r="181" ht="13" hidden="1" x14ac:dyDescent="0.15"/>
    <row r="182" ht="13" hidden="1" x14ac:dyDescent="0.15"/>
    <row r="183" ht="13" hidden="1" x14ac:dyDescent="0.15"/>
    <row r="184" ht="13" hidden="1" x14ac:dyDescent="0.15"/>
    <row r="185" ht="13" hidden="1" x14ac:dyDescent="0.15"/>
    <row r="186" ht="13" hidden="1" x14ac:dyDescent="0.15"/>
    <row r="187" ht="13" hidden="1" x14ac:dyDescent="0.15"/>
    <row r="188" ht="13" hidden="1" x14ac:dyDescent="0.15"/>
    <row r="189" ht="13" hidden="1" x14ac:dyDescent="0.15"/>
    <row r="190" ht="13" hidden="1" x14ac:dyDescent="0.15"/>
    <row r="191" ht="13" hidden="1" x14ac:dyDescent="0.15"/>
    <row r="192" ht="13" hidden="1" x14ac:dyDescent="0.15"/>
    <row r="193" ht="13" hidden="1" x14ac:dyDescent="0.15"/>
    <row r="194" ht="13" hidden="1" x14ac:dyDescent="0.15"/>
    <row r="195" ht="13" hidden="1" x14ac:dyDescent="0.15"/>
    <row r="196" ht="13" hidden="1" x14ac:dyDescent="0.15"/>
    <row r="197" ht="13" hidden="1" x14ac:dyDescent="0.15"/>
    <row r="198" ht="13" hidden="1" x14ac:dyDescent="0.15"/>
    <row r="199" ht="13" hidden="1" x14ac:dyDescent="0.15"/>
    <row r="200" ht="13" hidden="1" x14ac:dyDescent="0.15"/>
    <row r="201" ht="13" hidden="1" x14ac:dyDescent="0.15"/>
    <row r="202" ht="13" hidden="1" x14ac:dyDescent="0.15"/>
    <row r="203" ht="13" hidden="1" x14ac:dyDescent="0.15"/>
    <row r="204" ht="13" hidden="1" x14ac:dyDescent="0.15"/>
    <row r="205" ht="13" hidden="1" x14ac:dyDescent="0.15"/>
    <row r="206" ht="13" hidden="1" x14ac:dyDescent="0.15"/>
    <row r="207" ht="13" hidden="1" x14ac:dyDescent="0.15"/>
    <row r="208" ht="13" hidden="1" x14ac:dyDescent="0.15"/>
    <row r="209" ht="13" hidden="1" x14ac:dyDescent="0.15"/>
    <row r="210" ht="13" hidden="1" x14ac:dyDescent="0.15"/>
    <row r="211" ht="13" hidden="1" x14ac:dyDescent="0.15"/>
    <row r="212" ht="13" hidden="1" x14ac:dyDescent="0.15"/>
    <row r="213" ht="13" hidden="1" x14ac:dyDescent="0.15"/>
    <row r="214" ht="13" hidden="1" x14ac:dyDescent="0.15"/>
    <row r="215" ht="13" hidden="1" x14ac:dyDescent="0.15"/>
    <row r="216" ht="13" hidden="1" x14ac:dyDescent="0.15"/>
    <row r="217" ht="13" hidden="1" x14ac:dyDescent="0.15"/>
    <row r="218" ht="13" hidden="1" x14ac:dyDescent="0.15"/>
    <row r="219" ht="13" hidden="1" x14ac:dyDescent="0.15"/>
    <row r="220" ht="13" hidden="1" x14ac:dyDescent="0.15"/>
    <row r="221" ht="13" hidden="1" x14ac:dyDescent="0.15"/>
    <row r="222" ht="13" hidden="1" x14ac:dyDescent="0.15"/>
    <row r="223" ht="13" hidden="1" x14ac:dyDescent="0.15"/>
    <row r="224" ht="13" hidden="1" x14ac:dyDescent="0.15"/>
    <row r="225" ht="13" hidden="1" x14ac:dyDescent="0.15"/>
    <row r="226" ht="13" hidden="1" x14ac:dyDescent="0.15"/>
    <row r="227" ht="13" hidden="1" x14ac:dyDescent="0.15"/>
    <row r="228" ht="13" hidden="1" x14ac:dyDescent="0.15"/>
    <row r="229" ht="13" hidden="1" x14ac:dyDescent="0.15"/>
    <row r="230" ht="13" hidden="1" x14ac:dyDescent="0.15"/>
    <row r="231" ht="13" hidden="1" x14ac:dyDescent="0.15"/>
    <row r="232" ht="13" hidden="1" x14ac:dyDescent="0.15"/>
    <row r="233" ht="13" hidden="1" x14ac:dyDescent="0.15"/>
    <row r="234" ht="13" hidden="1" x14ac:dyDescent="0.15"/>
    <row r="235" ht="13" hidden="1" x14ac:dyDescent="0.15"/>
    <row r="236" ht="13" hidden="1" x14ac:dyDescent="0.15"/>
    <row r="237" ht="13" hidden="1" x14ac:dyDescent="0.15"/>
    <row r="238" ht="13" hidden="1" x14ac:dyDescent="0.15"/>
    <row r="239" ht="13" hidden="1" x14ac:dyDescent="0.15"/>
    <row r="240" ht="13" hidden="1" x14ac:dyDescent="0.15"/>
    <row r="241" ht="13" hidden="1" x14ac:dyDescent="0.15"/>
    <row r="242" ht="13" hidden="1" x14ac:dyDescent="0.15"/>
    <row r="243" ht="13" hidden="1" x14ac:dyDescent="0.15"/>
    <row r="244" ht="13" hidden="1" x14ac:dyDescent="0.15"/>
    <row r="245" ht="13" hidden="1" x14ac:dyDescent="0.15"/>
    <row r="246" ht="13" hidden="1" x14ac:dyDescent="0.15"/>
    <row r="247" ht="13" hidden="1" x14ac:dyDescent="0.15"/>
    <row r="248" ht="13" hidden="1" x14ac:dyDescent="0.15"/>
    <row r="249" ht="13" hidden="1" x14ac:dyDescent="0.15"/>
    <row r="250" ht="13" hidden="1" x14ac:dyDescent="0.15"/>
    <row r="251" ht="13" hidden="1" x14ac:dyDescent="0.15"/>
    <row r="252" ht="13" hidden="1" x14ac:dyDescent="0.15"/>
    <row r="253" ht="13" hidden="1" x14ac:dyDescent="0.15"/>
    <row r="254" ht="13" hidden="1" x14ac:dyDescent="0.15"/>
    <row r="255" ht="13" hidden="1" x14ac:dyDescent="0.15"/>
    <row r="256" ht="13" hidden="1" x14ac:dyDescent="0.15"/>
    <row r="257" ht="13" hidden="1" x14ac:dyDescent="0.15"/>
    <row r="258" ht="13" hidden="1" x14ac:dyDescent="0.15"/>
    <row r="259" ht="13" hidden="1" x14ac:dyDescent="0.15"/>
    <row r="260" ht="13" hidden="1" x14ac:dyDescent="0.15"/>
    <row r="261" ht="13" hidden="1" x14ac:dyDescent="0.15"/>
    <row r="262" ht="13" hidden="1" x14ac:dyDescent="0.15"/>
    <row r="263" ht="13" hidden="1" x14ac:dyDescent="0.15"/>
    <row r="264" ht="13" hidden="1" x14ac:dyDescent="0.15"/>
    <row r="265" ht="13" hidden="1" x14ac:dyDescent="0.15"/>
    <row r="266" ht="13" hidden="1" x14ac:dyDescent="0.15"/>
    <row r="267" ht="13" hidden="1" x14ac:dyDescent="0.15"/>
    <row r="268" ht="13" hidden="1" x14ac:dyDescent="0.15"/>
    <row r="269" ht="13" hidden="1" x14ac:dyDescent="0.15"/>
    <row r="270" ht="13" hidden="1" x14ac:dyDescent="0.15"/>
    <row r="271" ht="13" hidden="1" x14ac:dyDescent="0.15"/>
    <row r="272" ht="13" hidden="1" x14ac:dyDescent="0.15"/>
    <row r="273" ht="13" hidden="1" x14ac:dyDescent="0.15"/>
    <row r="274" ht="13" hidden="1" x14ac:dyDescent="0.15"/>
    <row r="275" ht="13" hidden="1" x14ac:dyDescent="0.15"/>
    <row r="276" ht="13" hidden="1" x14ac:dyDescent="0.15"/>
    <row r="277" ht="13" hidden="1" x14ac:dyDescent="0.15"/>
    <row r="278" ht="13" hidden="1" x14ac:dyDescent="0.15"/>
    <row r="279" ht="13" hidden="1" x14ac:dyDescent="0.15"/>
    <row r="280" ht="13" hidden="1" x14ac:dyDescent="0.15"/>
    <row r="281" ht="13" hidden="1" x14ac:dyDescent="0.15"/>
    <row r="282" ht="13" hidden="1" x14ac:dyDescent="0.15"/>
    <row r="283" ht="13" hidden="1" x14ac:dyDescent="0.15"/>
    <row r="284" ht="13" hidden="1" x14ac:dyDescent="0.15"/>
    <row r="285" ht="13" hidden="1" x14ac:dyDescent="0.15"/>
    <row r="286" ht="13" hidden="1" x14ac:dyDescent="0.15"/>
    <row r="287" ht="13" hidden="1" x14ac:dyDescent="0.15"/>
    <row r="288" ht="13" hidden="1" x14ac:dyDescent="0.15"/>
    <row r="289" ht="13" hidden="1" x14ac:dyDescent="0.15"/>
    <row r="290" ht="13" hidden="1" x14ac:dyDescent="0.15"/>
    <row r="291" ht="13" hidden="1" x14ac:dyDescent="0.15"/>
    <row r="292" ht="13" hidden="1" x14ac:dyDescent="0.15"/>
    <row r="293" ht="13" hidden="1" x14ac:dyDescent="0.15"/>
    <row r="294" ht="13" hidden="1" x14ac:dyDescent="0.15"/>
    <row r="295" ht="13" hidden="1" x14ac:dyDescent="0.15"/>
    <row r="296" ht="13" hidden="1" x14ac:dyDescent="0.15"/>
    <row r="297" ht="13" hidden="1" x14ac:dyDescent="0.15"/>
    <row r="298" ht="13" hidden="1" x14ac:dyDescent="0.15"/>
    <row r="299" ht="13" hidden="1" x14ac:dyDescent="0.15"/>
    <row r="300" ht="13" hidden="1" x14ac:dyDescent="0.15"/>
    <row r="301" ht="13" hidden="1" x14ac:dyDescent="0.15"/>
    <row r="302" ht="13" hidden="1" x14ac:dyDescent="0.15"/>
    <row r="303" ht="13" hidden="1" x14ac:dyDescent="0.15"/>
    <row r="304" ht="13" hidden="1" x14ac:dyDescent="0.15"/>
    <row r="305" ht="13" hidden="1" x14ac:dyDescent="0.15"/>
    <row r="306" ht="13" hidden="1" x14ac:dyDescent="0.15"/>
    <row r="307" ht="13" hidden="1" x14ac:dyDescent="0.15"/>
    <row r="308" ht="13" hidden="1" x14ac:dyDescent="0.15"/>
    <row r="309" ht="13" hidden="1" x14ac:dyDescent="0.15"/>
    <row r="310" ht="13" hidden="1" x14ac:dyDescent="0.15"/>
    <row r="311" ht="13" hidden="1" x14ac:dyDescent="0.15"/>
    <row r="312" ht="13" hidden="1" x14ac:dyDescent="0.15"/>
    <row r="313" ht="13" hidden="1" x14ac:dyDescent="0.15"/>
    <row r="314" ht="13" hidden="1" x14ac:dyDescent="0.15"/>
    <row r="315" ht="13" hidden="1" x14ac:dyDescent="0.15"/>
    <row r="316" ht="13" hidden="1" x14ac:dyDescent="0.15"/>
    <row r="317" ht="13" hidden="1" x14ac:dyDescent="0.15"/>
    <row r="318" ht="13" hidden="1" x14ac:dyDescent="0.15"/>
    <row r="319" ht="13" hidden="1" x14ac:dyDescent="0.15"/>
    <row r="320" ht="13" hidden="1" x14ac:dyDescent="0.15"/>
    <row r="321" ht="13" hidden="1" x14ac:dyDescent="0.15"/>
    <row r="322" ht="13" hidden="1" x14ac:dyDescent="0.15"/>
    <row r="323" ht="13" hidden="1" x14ac:dyDescent="0.15"/>
    <row r="324" ht="13" hidden="1" x14ac:dyDescent="0.15"/>
    <row r="325" ht="13" hidden="1" x14ac:dyDescent="0.15"/>
    <row r="326" ht="13" hidden="1" x14ac:dyDescent="0.15"/>
    <row r="327" ht="13" hidden="1" x14ac:dyDescent="0.15"/>
    <row r="328" ht="13" hidden="1" x14ac:dyDescent="0.15"/>
    <row r="329" ht="13" hidden="1" x14ac:dyDescent="0.15"/>
    <row r="330" ht="13" hidden="1" x14ac:dyDescent="0.15"/>
    <row r="331" ht="13" hidden="1" x14ac:dyDescent="0.15"/>
    <row r="332" ht="13" hidden="1" x14ac:dyDescent="0.15"/>
    <row r="333" ht="13" hidden="1" x14ac:dyDescent="0.15"/>
    <row r="334" ht="13" hidden="1" x14ac:dyDescent="0.15"/>
    <row r="335" ht="13" hidden="1" x14ac:dyDescent="0.15"/>
    <row r="336" ht="13" hidden="1" x14ac:dyDescent="0.15"/>
    <row r="337" ht="13" hidden="1" x14ac:dyDescent="0.15"/>
    <row r="338" ht="13" hidden="1" x14ac:dyDescent="0.15"/>
    <row r="339" ht="13" hidden="1" x14ac:dyDescent="0.15"/>
    <row r="340" ht="13" hidden="1" x14ac:dyDescent="0.15"/>
    <row r="341" ht="13" hidden="1" x14ac:dyDescent="0.15"/>
    <row r="342" ht="13" hidden="1" x14ac:dyDescent="0.15"/>
    <row r="343" ht="13" hidden="1" x14ac:dyDescent="0.15"/>
    <row r="344" ht="13" hidden="1" x14ac:dyDescent="0.15"/>
    <row r="345" ht="13" hidden="1" x14ac:dyDescent="0.15"/>
    <row r="346" ht="13" hidden="1" x14ac:dyDescent="0.15"/>
    <row r="347" ht="13" hidden="1" x14ac:dyDescent="0.15"/>
    <row r="348" ht="13" hidden="1" x14ac:dyDescent="0.15"/>
    <row r="349" ht="13" hidden="1" x14ac:dyDescent="0.15"/>
    <row r="350" ht="13" hidden="1" x14ac:dyDescent="0.15"/>
    <row r="351" ht="13" hidden="1" x14ac:dyDescent="0.15"/>
    <row r="352" ht="13" hidden="1" x14ac:dyDescent="0.15"/>
    <row r="353" ht="13" hidden="1" x14ac:dyDescent="0.15"/>
    <row r="354" ht="13" hidden="1" x14ac:dyDescent="0.15"/>
    <row r="355" ht="13" hidden="1" x14ac:dyDescent="0.15"/>
    <row r="356" ht="13" hidden="1" x14ac:dyDescent="0.15"/>
    <row r="357" ht="13" hidden="1" x14ac:dyDescent="0.15"/>
    <row r="358" ht="13" hidden="1" x14ac:dyDescent="0.15"/>
    <row r="359" ht="13" hidden="1" x14ac:dyDescent="0.15"/>
    <row r="360" ht="13" hidden="1" x14ac:dyDescent="0.15"/>
    <row r="361" ht="13" hidden="1" x14ac:dyDescent="0.15"/>
    <row r="362" ht="13" hidden="1" x14ac:dyDescent="0.15"/>
    <row r="363" ht="13" hidden="1" x14ac:dyDescent="0.15"/>
    <row r="364" ht="13" hidden="1" x14ac:dyDescent="0.15"/>
    <row r="365" ht="13" hidden="1" x14ac:dyDescent="0.15"/>
    <row r="366" ht="13" hidden="1" x14ac:dyDescent="0.15"/>
    <row r="367" ht="13" hidden="1" x14ac:dyDescent="0.15"/>
    <row r="368" ht="13" hidden="1" x14ac:dyDescent="0.15"/>
    <row r="369" ht="13" hidden="1" x14ac:dyDescent="0.15"/>
    <row r="370" ht="13" hidden="1" x14ac:dyDescent="0.15"/>
    <row r="371" ht="13" hidden="1" x14ac:dyDescent="0.15"/>
    <row r="372" ht="13" hidden="1" x14ac:dyDescent="0.15"/>
    <row r="373" ht="13" hidden="1" x14ac:dyDescent="0.15"/>
    <row r="374" ht="13" hidden="1" x14ac:dyDescent="0.15"/>
    <row r="375" ht="13" hidden="1" x14ac:dyDescent="0.15"/>
    <row r="376" ht="13" hidden="1" x14ac:dyDescent="0.15"/>
    <row r="377" ht="13" hidden="1" x14ac:dyDescent="0.15"/>
    <row r="378" ht="13" hidden="1" x14ac:dyDescent="0.15"/>
    <row r="379" ht="13" hidden="1" x14ac:dyDescent="0.15"/>
    <row r="380" ht="13" hidden="1" x14ac:dyDescent="0.15"/>
    <row r="381" ht="13" hidden="1" x14ac:dyDescent="0.15"/>
    <row r="382" ht="13" hidden="1" x14ac:dyDescent="0.15"/>
    <row r="383" ht="13" hidden="1" x14ac:dyDescent="0.15"/>
    <row r="384" ht="13" hidden="1" x14ac:dyDescent="0.15"/>
    <row r="385" ht="13" hidden="1" x14ac:dyDescent="0.15"/>
    <row r="386" ht="13" hidden="1" x14ac:dyDescent="0.15"/>
    <row r="387" ht="13" hidden="1" x14ac:dyDescent="0.15"/>
    <row r="388" ht="13" hidden="1" x14ac:dyDescent="0.15"/>
    <row r="389" ht="13" hidden="1" x14ac:dyDescent="0.15"/>
    <row r="390" ht="13" hidden="1" x14ac:dyDescent="0.15"/>
    <row r="391" ht="13" hidden="1" x14ac:dyDescent="0.15"/>
    <row r="392" ht="13" hidden="1" x14ac:dyDescent="0.15"/>
    <row r="393" ht="13" hidden="1" x14ac:dyDescent="0.15"/>
    <row r="394" ht="13" hidden="1" x14ac:dyDescent="0.15"/>
    <row r="395" ht="13" hidden="1" x14ac:dyDescent="0.15"/>
    <row r="396" ht="13" hidden="1" x14ac:dyDescent="0.15"/>
    <row r="397" ht="13" hidden="1" x14ac:dyDescent="0.15"/>
    <row r="398" ht="13" hidden="1" x14ac:dyDescent="0.15"/>
    <row r="399" ht="13" hidden="1" x14ac:dyDescent="0.15"/>
    <row r="400" ht="13" hidden="1" x14ac:dyDescent="0.15"/>
    <row r="401" ht="13" hidden="1" x14ac:dyDescent="0.15"/>
    <row r="402" ht="13" hidden="1" x14ac:dyDescent="0.15"/>
    <row r="403" ht="13" hidden="1" x14ac:dyDescent="0.15"/>
    <row r="404" ht="13" hidden="1" x14ac:dyDescent="0.15"/>
    <row r="405" ht="13" hidden="1" x14ac:dyDescent="0.15"/>
    <row r="406" ht="13" hidden="1" x14ac:dyDescent="0.15"/>
    <row r="407" ht="13" hidden="1" x14ac:dyDescent="0.15"/>
    <row r="408" ht="13" hidden="1" x14ac:dyDescent="0.15"/>
    <row r="409" ht="13" hidden="1" x14ac:dyDescent="0.15"/>
    <row r="410" ht="13" hidden="1" x14ac:dyDescent="0.15"/>
    <row r="411" ht="13" hidden="1" x14ac:dyDescent="0.15"/>
    <row r="412" ht="13" hidden="1" x14ac:dyDescent="0.15"/>
    <row r="413" ht="13" hidden="1" x14ac:dyDescent="0.15"/>
    <row r="414" ht="13" hidden="1" x14ac:dyDescent="0.15"/>
    <row r="415" ht="13" hidden="1" x14ac:dyDescent="0.15"/>
    <row r="416" ht="13" hidden="1" x14ac:dyDescent="0.15"/>
    <row r="417" ht="13" hidden="1" x14ac:dyDescent="0.15"/>
    <row r="418" ht="13" hidden="1" x14ac:dyDescent="0.15"/>
    <row r="419" ht="13" hidden="1" x14ac:dyDescent="0.15"/>
    <row r="420" ht="13" hidden="1" x14ac:dyDescent="0.15"/>
    <row r="421" ht="13" hidden="1" x14ac:dyDescent="0.15"/>
    <row r="422" ht="13" hidden="1" x14ac:dyDescent="0.15"/>
    <row r="423" ht="13" hidden="1" x14ac:dyDescent="0.15"/>
    <row r="424" ht="13" hidden="1" x14ac:dyDescent="0.15"/>
    <row r="425" ht="13" hidden="1" x14ac:dyDescent="0.15"/>
    <row r="426" ht="13" hidden="1" x14ac:dyDescent="0.15"/>
    <row r="427" ht="13" hidden="1" x14ac:dyDescent="0.15"/>
    <row r="428" ht="13" hidden="1" x14ac:dyDescent="0.15"/>
    <row r="429" ht="13" hidden="1" x14ac:dyDescent="0.15"/>
    <row r="430" ht="13" hidden="1" x14ac:dyDescent="0.15"/>
    <row r="431" ht="13" hidden="1" x14ac:dyDescent="0.15"/>
    <row r="432" ht="13" hidden="1" x14ac:dyDescent="0.15"/>
    <row r="433" ht="13" hidden="1" x14ac:dyDescent="0.15"/>
    <row r="434" ht="13" hidden="1" x14ac:dyDescent="0.15"/>
    <row r="435" ht="13" hidden="1" x14ac:dyDescent="0.15"/>
    <row r="436" ht="13" hidden="1" x14ac:dyDescent="0.15"/>
    <row r="437" ht="13" hidden="1" x14ac:dyDescent="0.15"/>
    <row r="438" ht="13" hidden="1" x14ac:dyDescent="0.15"/>
    <row r="439" ht="13" hidden="1" x14ac:dyDescent="0.15"/>
    <row r="440" ht="13" hidden="1" x14ac:dyDescent="0.15"/>
    <row r="441" ht="13" hidden="1" x14ac:dyDescent="0.15"/>
    <row r="442" ht="13" hidden="1" x14ac:dyDescent="0.15"/>
    <row r="443" ht="13" hidden="1" x14ac:dyDescent="0.15"/>
    <row r="444" ht="13" hidden="1" x14ac:dyDescent="0.15"/>
    <row r="445" ht="13" hidden="1" x14ac:dyDescent="0.15"/>
    <row r="446" ht="13" hidden="1" x14ac:dyDescent="0.15"/>
  </sheetData>
  <mergeCells count="15">
    <mergeCell ref="A6:A7"/>
    <mergeCell ref="A12:C12"/>
    <mergeCell ref="A14:A16"/>
    <mergeCell ref="A44:A45"/>
    <mergeCell ref="A17:A43"/>
    <mergeCell ref="A8:A11"/>
    <mergeCell ref="B16:C16"/>
    <mergeCell ref="B14:C14"/>
    <mergeCell ref="B44:C44"/>
    <mergeCell ref="A1:C1"/>
    <mergeCell ref="B4:C4"/>
    <mergeCell ref="A2:A5"/>
    <mergeCell ref="B6:C6"/>
    <mergeCell ref="B15:C15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71"/>
  <sheetViews>
    <sheetView showGridLines="0" workbookViewId="0">
      <selection activeCell="C17" sqref="C17:E17"/>
    </sheetView>
  </sheetViews>
  <sheetFormatPr baseColWidth="10" defaultColWidth="12.6640625" defaultRowHeight="15.75" customHeight="1" x14ac:dyDescent="0.15"/>
  <cols>
    <col min="1" max="3" width="29.6640625" customWidth="1"/>
    <col min="4" max="4" width="31.6640625" customWidth="1"/>
    <col min="5" max="5" width="56.6640625" customWidth="1"/>
    <col min="7" max="26" width="12.6640625" hidden="1" customWidth="1"/>
  </cols>
  <sheetData>
    <row r="1" spans="1:26" ht="13" x14ac:dyDescent="0.15">
      <c r="A1" s="133" t="s">
        <v>87</v>
      </c>
      <c r="B1" s="134"/>
      <c r="C1" s="134"/>
      <c r="D1" s="134"/>
      <c r="E1" s="135"/>
    </row>
    <row r="2" spans="1:26" ht="13" x14ac:dyDescent="0.15">
      <c r="A2" s="136"/>
      <c r="B2" s="129"/>
      <c r="C2" s="129"/>
      <c r="D2" s="129"/>
      <c r="E2" s="137"/>
    </row>
    <row r="3" spans="1:26" ht="34" x14ac:dyDescent="0.15">
      <c r="A3" s="98" t="s">
        <v>88</v>
      </c>
      <c r="B3" s="98" t="s">
        <v>89</v>
      </c>
      <c r="C3" s="98" t="s">
        <v>90</v>
      </c>
      <c r="D3" s="98" t="s">
        <v>91</v>
      </c>
      <c r="E3" s="98" t="s">
        <v>92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spans="1:26" ht="51" x14ac:dyDescent="0.2">
      <c r="A4" s="100" t="s">
        <v>95</v>
      </c>
      <c r="B4" s="101" t="s">
        <v>93</v>
      </c>
      <c r="C4" s="101" t="s">
        <v>94</v>
      </c>
      <c r="D4" s="101" t="s">
        <v>94</v>
      </c>
      <c r="E4" s="102" t="s">
        <v>96</v>
      </c>
    </row>
    <row r="6" spans="1:26" ht="13" x14ac:dyDescent="0.15">
      <c r="A6" s="138" t="s">
        <v>97</v>
      </c>
      <c r="B6" s="134"/>
      <c r="C6" s="134"/>
      <c r="D6" s="134"/>
      <c r="E6" s="135"/>
    </row>
    <row r="7" spans="1:26" ht="13" x14ac:dyDescent="0.15">
      <c r="A7" s="136"/>
      <c r="B7" s="129"/>
      <c r="C7" s="129"/>
      <c r="D7" s="129"/>
      <c r="E7" s="137"/>
    </row>
    <row r="8" spans="1:26" ht="17" x14ac:dyDescent="0.2">
      <c r="A8" s="103" t="s">
        <v>2</v>
      </c>
      <c r="B8" s="103" t="s">
        <v>98</v>
      </c>
      <c r="C8" s="139" t="s">
        <v>99</v>
      </c>
      <c r="D8" s="112"/>
      <c r="E8" s="113"/>
    </row>
    <row r="9" spans="1:26" ht="17" x14ac:dyDescent="0.2">
      <c r="A9" s="104" t="s">
        <v>100</v>
      </c>
      <c r="B9" s="105" t="s">
        <v>101</v>
      </c>
      <c r="C9" s="131" t="s">
        <v>102</v>
      </c>
      <c r="D9" s="112"/>
      <c r="E9" s="113"/>
    </row>
    <row r="10" spans="1:26" ht="34" x14ac:dyDescent="0.2">
      <c r="A10" s="104" t="s">
        <v>103</v>
      </c>
      <c r="B10" s="105" t="s">
        <v>104</v>
      </c>
      <c r="C10" s="131" t="s">
        <v>105</v>
      </c>
      <c r="D10" s="112"/>
      <c r="E10" s="113"/>
    </row>
    <row r="11" spans="1:26" ht="68" x14ac:dyDescent="0.2">
      <c r="A11" s="104" t="s">
        <v>106</v>
      </c>
      <c r="B11" s="105" t="s">
        <v>107</v>
      </c>
      <c r="C11" s="131" t="s">
        <v>108</v>
      </c>
      <c r="D11" s="112"/>
      <c r="E11" s="113"/>
    </row>
    <row r="12" spans="1:26" ht="34" x14ac:dyDescent="0.2">
      <c r="A12" s="104" t="s">
        <v>109</v>
      </c>
      <c r="B12" s="105" t="s">
        <v>110</v>
      </c>
      <c r="C12" s="131" t="s">
        <v>111</v>
      </c>
      <c r="D12" s="112"/>
      <c r="E12" s="113"/>
    </row>
    <row r="13" spans="1:26" ht="34" x14ac:dyDescent="0.2">
      <c r="A13" s="104" t="s">
        <v>112</v>
      </c>
      <c r="B13" s="105" t="s">
        <v>113</v>
      </c>
      <c r="C13" s="131" t="s">
        <v>114</v>
      </c>
      <c r="D13" s="112"/>
      <c r="E13" s="113"/>
    </row>
    <row r="14" spans="1:26" ht="17" x14ac:dyDescent="0.2">
      <c r="A14" s="104" t="s">
        <v>115</v>
      </c>
      <c r="B14" s="105" t="s">
        <v>116</v>
      </c>
      <c r="C14" s="131" t="s">
        <v>117</v>
      </c>
      <c r="D14" s="112"/>
      <c r="E14" s="113"/>
    </row>
    <row r="15" spans="1:26" ht="51" x14ac:dyDescent="0.2">
      <c r="A15" s="104" t="s">
        <v>118</v>
      </c>
      <c r="B15" s="105" t="s">
        <v>119</v>
      </c>
      <c r="C15" s="131" t="s">
        <v>120</v>
      </c>
      <c r="D15" s="112"/>
      <c r="E15" s="113"/>
    </row>
    <row r="16" spans="1:26" ht="17" x14ac:dyDescent="0.2">
      <c r="A16" s="104" t="s">
        <v>121</v>
      </c>
      <c r="B16" s="105" t="s">
        <v>122</v>
      </c>
      <c r="C16" s="131" t="s">
        <v>123</v>
      </c>
      <c r="D16" s="112"/>
      <c r="E16" s="113"/>
    </row>
    <row r="17" spans="1:26" ht="34" x14ac:dyDescent="0.2">
      <c r="A17" s="104" t="s">
        <v>124</v>
      </c>
      <c r="B17" s="105" t="s">
        <v>125</v>
      </c>
      <c r="C17" s="131" t="s">
        <v>126</v>
      </c>
      <c r="D17" s="112"/>
      <c r="E17" s="113"/>
    </row>
    <row r="19" spans="1:26" ht="13" x14ac:dyDescent="0.15">
      <c r="A19" s="138" t="s">
        <v>127</v>
      </c>
      <c r="B19" s="134"/>
      <c r="C19" s="134"/>
      <c r="D19" s="134"/>
      <c r="E19" s="135"/>
    </row>
    <row r="20" spans="1:26" ht="13" x14ac:dyDescent="0.15">
      <c r="A20" s="136"/>
      <c r="B20" s="129"/>
      <c r="C20" s="129"/>
      <c r="D20" s="129"/>
      <c r="E20" s="137"/>
    </row>
    <row r="21" spans="1:26" ht="17" x14ac:dyDescent="0.15">
      <c r="A21" s="106" t="s">
        <v>88</v>
      </c>
      <c r="B21" s="132" t="s">
        <v>128</v>
      </c>
      <c r="C21" s="113"/>
      <c r="D21" s="107" t="s">
        <v>129</v>
      </c>
      <c r="E21" s="107" t="s">
        <v>130</v>
      </c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spans="1:26" ht="51" x14ac:dyDescent="0.2">
      <c r="A22" s="104" t="s">
        <v>95</v>
      </c>
      <c r="B22" s="130" t="s">
        <v>131</v>
      </c>
      <c r="C22" s="113"/>
      <c r="D22" s="105" t="s">
        <v>132</v>
      </c>
      <c r="E22" s="105" t="s">
        <v>133</v>
      </c>
    </row>
    <row r="27" spans="1:26" ht="13" hidden="1" x14ac:dyDescent="0.15"/>
    <row r="28" spans="1:26" ht="13" hidden="1" x14ac:dyDescent="0.15"/>
    <row r="29" spans="1:26" ht="13" hidden="1" x14ac:dyDescent="0.15"/>
    <row r="30" spans="1:26" ht="13" hidden="1" x14ac:dyDescent="0.15"/>
    <row r="31" spans="1:26" ht="13" hidden="1" x14ac:dyDescent="0.15"/>
    <row r="32" spans="1:26" ht="13" hidden="1" x14ac:dyDescent="0.15"/>
    <row r="33" ht="13" hidden="1" x14ac:dyDescent="0.15"/>
    <row r="34" ht="13" hidden="1" x14ac:dyDescent="0.15"/>
    <row r="35" ht="13" hidden="1" x14ac:dyDescent="0.15"/>
    <row r="36" ht="13" hidden="1" x14ac:dyDescent="0.15"/>
    <row r="37" ht="13" hidden="1" x14ac:dyDescent="0.15"/>
    <row r="38" ht="13" hidden="1" x14ac:dyDescent="0.15"/>
    <row r="39" ht="13" hidden="1" x14ac:dyDescent="0.15"/>
    <row r="40" ht="13" hidden="1" x14ac:dyDescent="0.15"/>
    <row r="41" ht="13" hidden="1" x14ac:dyDescent="0.15"/>
    <row r="42" ht="13" hidden="1" x14ac:dyDescent="0.15"/>
    <row r="43" ht="13" hidden="1" x14ac:dyDescent="0.15"/>
    <row r="44" ht="13" hidden="1" x14ac:dyDescent="0.15"/>
    <row r="45" ht="13" hidden="1" x14ac:dyDescent="0.15"/>
    <row r="46" ht="13" hidden="1" x14ac:dyDescent="0.15"/>
    <row r="47" ht="13" hidden="1" x14ac:dyDescent="0.15"/>
    <row r="48" ht="13" hidden="1" x14ac:dyDescent="0.15"/>
    <row r="49" ht="13" hidden="1" x14ac:dyDescent="0.15"/>
    <row r="50" ht="13" hidden="1" x14ac:dyDescent="0.15"/>
    <row r="51" ht="13" hidden="1" x14ac:dyDescent="0.15"/>
    <row r="52" ht="13" hidden="1" x14ac:dyDescent="0.15"/>
    <row r="53" ht="13" hidden="1" x14ac:dyDescent="0.15"/>
    <row r="54" ht="13" hidden="1" x14ac:dyDescent="0.15"/>
    <row r="55" ht="13" hidden="1" x14ac:dyDescent="0.15"/>
    <row r="56" ht="13" hidden="1" x14ac:dyDescent="0.15"/>
    <row r="57" ht="13" hidden="1" x14ac:dyDescent="0.15"/>
    <row r="58" ht="13" hidden="1" x14ac:dyDescent="0.15"/>
    <row r="59" ht="13" hidden="1" x14ac:dyDescent="0.15"/>
    <row r="60" ht="13" hidden="1" x14ac:dyDescent="0.15"/>
    <row r="61" ht="13" hidden="1" x14ac:dyDescent="0.15"/>
    <row r="62" ht="13" hidden="1" x14ac:dyDescent="0.15"/>
    <row r="63" ht="13" hidden="1" x14ac:dyDescent="0.15"/>
    <row r="64" ht="13" hidden="1" x14ac:dyDescent="0.15"/>
    <row r="65" ht="13" hidden="1" x14ac:dyDescent="0.15"/>
    <row r="66" ht="13" hidden="1" x14ac:dyDescent="0.15"/>
    <row r="67" ht="13" hidden="1" x14ac:dyDescent="0.15"/>
    <row r="68" ht="13" hidden="1" x14ac:dyDescent="0.15"/>
    <row r="69" ht="13" hidden="1" x14ac:dyDescent="0.15"/>
    <row r="70" ht="13" hidden="1" x14ac:dyDescent="0.15"/>
    <row r="71" ht="13" hidden="1" x14ac:dyDescent="0.15"/>
    <row r="72" ht="13" hidden="1" x14ac:dyDescent="0.15"/>
    <row r="73" ht="13" hidden="1" x14ac:dyDescent="0.15"/>
    <row r="74" ht="13" hidden="1" x14ac:dyDescent="0.15"/>
    <row r="75" ht="13" hidden="1" x14ac:dyDescent="0.15"/>
    <row r="76" ht="13" hidden="1" x14ac:dyDescent="0.15"/>
    <row r="77" ht="13" hidden="1" x14ac:dyDescent="0.15"/>
    <row r="78" ht="13" hidden="1" x14ac:dyDescent="0.15"/>
    <row r="79" ht="13" hidden="1" x14ac:dyDescent="0.15"/>
    <row r="80" ht="13" hidden="1" x14ac:dyDescent="0.15"/>
    <row r="81" ht="13" hidden="1" x14ac:dyDescent="0.15"/>
    <row r="82" ht="13" hidden="1" x14ac:dyDescent="0.15"/>
    <row r="83" ht="13" hidden="1" x14ac:dyDescent="0.15"/>
    <row r="84" ht="13" hidden="1" x14ac:dyDescent="0.15"/>
    <row r="85" ht="13" hidden="1" x14ac:dyDescent="0.15"/>
    <row r="86" ht="13" hidden="1" x14ac:dyDescent="0.15"/>
    <row r="87" ht="13" hidden="1" x14ac:dyDescent="0.15"/>
    <row r="88" ht="13" hidden="1" x14ac:dyDescent="0.15"/>
    <row r="89" ht="13" hidden="1" x14ac:dyDescent="0.15"/>
    <row r="90" ht="13" hidden="1" x14ac:dyDescent="0.15"/>
    <row r="91" ht="13" hidden="1" x14ac:dyDescent="0.15"/>
    <row r="92" ht="13" hidden="1" x14ac:dyDescent="0.15"/>
    <row r="93" ht="13" hidden="1" x14ac:dyDescent="0.15"/>
    <row r="94" ht="13" hidden="1" x14ac:dyDescent="0.15"/>
    <row r="95" ht="13" hidden="1" x14ac:dyDescent="0.15"/>
    <row r="96" ht="13" hidden="1" x14ac:dyDescent="0.15"/>
    <row r="97" ht="13" hidden="1" x14ac:dyDescent="0.15"/>
    <row r="98" ht="13" hidden="1" x14ac:dyDescent="0.15"/>
    <row r="99" ht="13" hidden="1" x14ac:dyDescent="0.15"/>
    <row r="100" ht="13" hidden="1" x14ac:dyDescent="0.15"/>
    <row r="101" ht="13" hidden="1" x14ac:dyDescent="0.15"/>
    <row r="102" ht="13" hidden="1" x14ac:dyDescent="0.15"/>
    <row r="103" ht="13" hidden="1" x14ac:dyDescent="0.15"/>
    <row r="104" ht="13" hidden="1" x14ac:dyDescent="0.15"/>
    <row r="105" ht="13" hidden="1" x14ac:dyDescent="0.15"/>
    <row r="106" ht="13" hidden="1" x14ac:dyDescent="0.15"/>
    <row r="107" ht="13" hidden="1" x14ac:dyDescent="0.15"/>
    <row r="108" ht="13" hidden="1" x14ac:dyDescent="0.15"/>
    <row r="109" ht="13" hidden="1" x14ac:dyDescent="0.15"/>
    <row r="110" ht="13" hidden="1" x14ac:dyDescent="0.15"/>
    <row r="111" ht="13" hidden="1" x14ac:dyDescent="0.15"/>
    <row r="112" ht="13" hidden="1" x14ac:dyDescent="0.15"/>
    <row r="113" ht="13" hidden="1" x14ac:dyDescent="0.15"/>
    <row r="114" ht="13" hidden="1" x14ac:dyDescent="0.15"/>
    <row r="115" ht="13" hidden="1" x14ac:dyDescent="0.15"/>
    <row r="116" ht="13" hidden="1" x14ac:dyDescent="0.15"/>
    <row r="117" ht="13" hidden="1" x14ac:dyDescent="0.15"/>
    <row r="118" ht="13" hidden="1" x14ac:dyDescent="0.15"/>
    <row r="119" ht="13" hidden="1" x14ac:dyDescent="0.15"/>
    <row r="120" ht="13" hidden="1" x14ac:dyDescent="0.15"/>
    <row r="121" ht="13" hidden="1" x14ac:dyDescent="0.15"/>
    <row r="122" ht="13" hidden="1" x14ac:dyDescent="0.15"/>
    <row r="123" ht="13" hidden="1" x14ac:dyDescent="0.15"/>
    <row r="124" ht="13" hidden="1" x14ac:dyDescent="0.15"/>
    <row r="125" ht="13" hidden="1" x14ac:dyDescent="0.15"/>
    <row r="126" ht="13" hidden="1" x14ac:dyDescent="0.15"/>
    <row r="127" ht="13" hidden="1" x14ac:dyDescent="0.15"/>
    <row r="128" ht="13" hidden="1" x14ac:dyDescent="0.15"/>
    <row r="129" ht="13" hidden="1" x14ac:dyDescent="0.15"/>
    <row r="130" ht="13" hidden="1" x14ac:dyDescent="0.15"/>
    <row r="131" ht="13" hidden="1" x14ac:dyDescent="0.15"/>
    <row r="132" ht="13" hidden="1" x14ac:dyDescent="0.15"/>
    <row r="133" ht="13" hidden="1" x14ac:dyDescent="0.15"/>
    <row r="134" ht="13" hidden="1" x14ac:dyDescent="0.15"/>
    <row r="135" ht="13" hidden="1" x14ac:dyDescent="0.15"/>
    <row r="136" ht="13" hidden="1" x14ac:dyDescent="0.15"/>
    <row r="137" ht="13" hidden="1" x14ac:dyDescent="0.15"/>
    <row r="138" ht="13" hidden="1" x14ac:dyDescent="0.15"/>
    <row r="139" ht="13" hidden="1" x14ac:dyDescent="0.15"/>
    <row r="140" ht="13" hidden="1" x14ac:dyDescent="0.15"/>
    <row r="141" ht="13" hidden="1" x14ac:dyDescent="0.15"/>
    <row r="142" ht="13" hidden="1" x14ac:dyDescent="0.15"/>
    <row r="143" ht="13" hidden="1" x14ac:dyDescent="0.15"/>
    <row r="144" ht="13" hidden="1" x14ac:dyDescent="0.15"/>
    <row r="145" ht="13" hidden="1" x14ac:dyDescent="0.15"/>
    <row r="146" ht="13" hidden="1" x14ac:dyDescent="0.15"/>
    <row r="147" ht="13" hidden="1" x14ac:dyDescent="0.15"/>
    <row r="148" ht="13" hidden="1" x14ac:dyDescent="0.15"/>
    <row r="149" ht="13" hidden="1" x14ac:dyDescent="0.15"/>
    <row r="150" ht="13" hidden="1" x14ac:dyDescent="0.15"/>
    <row r="151" ht="13" hidden="1" x14ac:dyDescent="0.15"/>
    <row r="152" ht="13" hidden="1" x14ac:dyDescent="0.15"/>
    <row r="153" ht="13" hidden="1" x14ac:dyDescent="0.15"/>
    <row r="154" ht="13" hidden="1" x14ac:dyDescent="0.15"/>
    <row r="155" ht="13" hidden="1" x14ac:dyDescent="0.15"/>
    <row r="156" ht="13" hidden="1" x14ac:dyDescent="0.15"/>
    <row r="157" ht="13" hidden="1" x14ac:dyDescent="0.15"/>
    <row r="158" ht="13" hidden="1" x14ac:dyDescent="0.15"/>
    <row r="159" ht="13" hidden="1" x14ac:dyDescent="0.15"/>
    <row r="160" ht="13" hidden="1" x14ac:dyDescent="0.15"/>
    <row r="161" ht="13" hidden="1" x14ac:dyDescent="0.15"/>
    <row r="162" ht="13" hidden="1" x14ac:dyDescent="0.15"/>
    <row r="163" ht="13" hidden="1" x14ac:dyDescent="0.15"/>
    <row r="164" ht="13" hidden="1" x14ac:dyDescent="0.15"/>
    <row r="165" ht="13" hidden="1" x14ac:dyDescent="0.15"/>
    <row r="166" ht="13" hidden="1" x14ac:dyDescent="0.15"/>
    <row r="167" ht="13" hidden="1" x14ac:dyDescent="0.15"/>
    <row r="168" ht="13" hidden="1" x14ac:dyDescent="0.15"/>
    <row r="169" ht="13" hidden="1" x14ac:dyDescent="0.15"/>
    <row r="170" ht="13" hidden="1" x14ac:dyDescent="0.15"/>
    <row r="171" ht="13" hidden="1" x14ac:dyDescent="0.15"/>
    <row r="172" ht="13" hidden="1" x14ac:dyDescent="0.15"/>
    <row r="173" ht="13" hidden="1" x14ac:dyDescent="0.15"/>
    <row r="174" ht="13" hidden="1" x14ac:dyDescent="0.15"/>
    <row r="175" ht="13" hidden="1" x14ac:dyDescent="0.15"/>
    <row r="176" ht="13" hidden="1" x14ac:dyDescent="0.15"/>
    <row r="177" ht="13" hidden="1" x14ac:dyDescent="0.15"/>
    <row r="178" ht="13" hidden="1" x14ac:dyDescent="0.15"/>
    <row r="179" ht="13" hidden="1" x14ac:dyDescent="0.15"/>
    <row r="180" ht="13" hidden="1" x14ac:dyDescent="0.15"/>
    <row r="181" ht="13" hidden="1" x14ac:dyDescent="0.15"/>
    <row r="182" ht="13" hidden="1" x14ac:dyDescent="0.15"/>
    <row r="183" ht="13" hidden="1" x14ac:dyDescent="0.15"/>
    <row r="184" ht="13" hidden="1" x14ac:dyDescent="0.15"/>
    <row r="185" ht="13" hidden="1" x14ac:dyDescent="0.15"/>
    <row r="186" ht="13" hidden="1" x14ac:dyDescent="0.15"/>
    <row r="187" ht="13" hidden="1" x14ac:dyDescent="0.15"/>
    <row r="188" ht="13" hidden="1" x14ac:dyDescent="0.15"/>
    <row r="189" ht="13" hidden="1" x14ac:dyDescent="0.15"/>
    <row r="190" ht="13" hidden="1" x14ac:dyDescent="0.15"/>
    <row r="191" ht="13" hidden="1" x14ac:dyDescent="0.15"/>
    <row r="192" ht="13" hidden="1" x14ac:dyDescent="0.15"/>
    <row r="193" ht="13" hidden="1" x14ac:dyDescent="0.15"/>
    <row r="194" ht="13" hidden="1" x14ac:dyDescent="0.15"/>
    <row r="195" ht="13" hidden="1" x14ac:dyDescent="0.15"/>
    <row r="196" ht="13" hidden="1" x14ac:dyDescent="0.15"/>
    <row r="197" ht="13" hidden="1" x14ac:dyDescent="0.15"/>
    <row r="198" ht="13" hidden="1" x14ac:dyDescent="0.15"/>
    <row r="199" ht="13" hidden="1" x14ac:dyDescent="0.15"/>
    <row r="200" ht="13" hidden="1" x14ac:dyDescent="0.15"/>
    <row r="201" ht="13" hidden="1" x14ac:dyDescent="0.15"/>
    <row r="202" ht="13" hidden="1" x14ac:dyDescent="0.15"/>
    <row r="203" ht="13" hidden="1" x14ac:dyDescent="0.15"/>
    <row r="204" ht="13" hidden="1" x14ac:dyDescent="0.15"/>
    <row r="205" ht="13" hidden="1" x14ac:dyDescent="0.15"/>
    <row r="206" ht="13" hidden="1" x14ac:dyDescent="0.15"/>
    <row r="207" ht="13" hidden="1" x14ac:dyDescent="0.15"/>
    <row r="208" ht="13" hidden="1" x14ac:dyDescent="0.15"/>
    <row r="209" ht="13" hidden="1" x14ac:dyDescent="0.15"/>
    <row r="210" ht="13" hidden="1" x14ac:dyDescent="0.15"/>
    <row r="211" ht="13" hidden="1" x14ac:dyDescent="0.15"/>
    <row r="212" ht="13" hidden="1" x14ac:dyDescent="0.15"/>
    <row r="213" ht="13" hidden="1" x14ac:dyDescent="0.15"/>
    <row r="214" ht="13" hidden="1" x14ac:dyDescent="0.15"/>
    <row r="215" ht="13" hidden="1" x14ac:dyDescent="0.15"/>
    <row r="216" ht="13" hidden="1" x14ac:dyDescent="0.15"/>
    <row r="217" ht="13" hidden="1" x14ac:dyDescent="0.15"/>
    <row r="218" ht="13" hidden="1" x14ac:dyDescent="0.15"/>
    <row r="219" ht="13" hidden="1" x14ac:dyDescent="0.15"/>
    <row r="220" ht="13" hidden="1" x14ac:dyDescent="0.15"/>
    <row r="221" ht="13" hidden="1" x14ac:dyDescent="0.15"/>
    <row r="222" ht="13" hidden="1" x14ac:dyDescent="0.15"/>
    <row r="223" ht="13" hidden="1" x14ac:dyDescent="0.15"/>
    <row r="224" ht="13" hidden="1" x14ac:dyDescent="0.15"/>
    <row r="225" ht="13" hidden="1" x14ac:dyDescent="0.15"/>
    <row r="226" ht="13" hidden="1" x14ac:dyDescent="0.15"/>
    <row r="227" ht="13" hidden="1" x14ac:dyDescent="0.15"/>
    <row r="228" ht="13" hidden="1" x14ac:dyDescent="0.15"/>
    <row r="229" ht="13" hidden="1" x14ac:dyDescent="0.15"/>
    <row r="230" ht="13" hidden="1" x14ac:dyDescent="0.15"/>
    <row r="231" ht="13" hidden="1" x14ac:dyDescent="0.15"/>
    <row r="232" ht="13" hidden="1" x14ac:dyDescent="0.15"/>
    <row r="233" ht="13" hidden="1" x14ac:dyDescent="0.15"/>
    <row r="234" ht="13" hidden="1" x14ac:dyDescent="0.15"/>
    <row r="235" ht="13" hidden="1" x14ac:dyDescent="0.15"/>
    <row r="236" ht="13" hidden="1" x14ac:dyDescent="0.15"/>
    <row r="237" ht="13" hidden="1" x14ac:dyDescent="0.15"/>
    <row r="238" ht="13" hidden="1" x14ac:dyDescent="0.15"/>
    <row r="239" ht="13" hidden="1" x14ac:dyDescent="0.15"/>
    <row r="240" ht="13" hidden="1" x14ac:dyDescent="0.15"/>
    <row r="241" ht="13" hidden="1" x14ac:dyDescent="0.15"/>
    <row r="242" ht="13" hidden="1" x14ac:dyDescent="0.15"/>
    <row r="243" ht="13" hidden="1" x14ac:dyDescent="0.15"/>
    <row r="244" ht="13" hidden="1" x14ac:dyDescent="0.15"/>
    <row r="245" ht="13" hidden="1" x14ac:dyDescent="0.15"/>
    <row r="246" ht="13" hidden="1" x14ac:dyDescent="0.15"/>
    <row r="247" ht="13" hidden="1" x14ac:dyDescent="0.15"/>
    <row r="248" ht="13" hidden="1" x14ac:dyDescent="0.15"/>
    <row r="249" ht="13" hidden="1" x14ac:dyDescent="0.15"/>
    <row r="250" ht="13" hidden="1" x14ac:dyDescent="0.15"/>
    <row r="251" ht="13" hidden="1" x14ac:dyDescent="0.15"/>
    <row r="252" ht="13" hidden="1" x14ac:dyDescent="0.15"/>
    <row r="253" ht="13" hidden="1" x14ac:dyDescent="0.15"/>
    <row r="254" ht="13" hidden="1" x14ac:dyDescent="0.15"/>
    <row r="255" ht="13" hidden="1" x14ac:dyDescent="0.15"/>
    <row r="256" ht="13" hidden="1" x14ac:dyDescent="0.15"/>
    <row r="257" ht="13" hidden="1" x14ac:dyDescent="0.15"/>
    <row r="258" ht="13" hidden="1" x14ac:dyDescent="0.15"/>
    <row r="259" ht="13" hidden="1" x14ac:dyDescent="0.15"/>
    <row r="260" ht="13" hidden="1" x14ac:dyDescent="0.15"/>
    <row r="261" ht="13" hidden="1" x14ac:dyDescent="0.15"/>
    <row r="262" ht="13" hidden="1" x14ac:dyDescent="0.15"/>
    <row r="263" ht="13" hidden="1" x14ac:dyDescent="0.15"/>
    <row r="264" ht="13" hidden="1" x14ac:dyDescent="0.15"/>
    <row r="265" ht="13" hidden="1" x14ac:dyDescent="0.15"/>
    <row r="266" ht="13" hidden="1" x14ac:dyDescent="0.15"/>
    <row r="267" ht="13" hidden="1" x14ac:dyDescent="0.15"/>
    <row r="268" ht="13" hidden="1" x14ac:dyDescent="0.15"/>
    <row r="269" ht="13" hidden="1" x14ac:dyDescent="0.15"/>
    <row r="270" ht="13" hidden="1" x14ac:dyDescent="0.15"/>
    <row r="271" ht="13" hidden="1" x14ac:dyDescent="0.15"/>
    <row r="272" ht="13" hidden="1" x14ac:dyDescent="0.15"/>
    <row r="273" ht="13" hidden="1" x14ac:dyDescent="0.15"/>
    <row r="274" ht="13" hidden="1" x14ac:dyDescent="0.15"/>
    <row r="275" ht="13" hidden="1" x14ac:dyDescent="0.15"/>
    <row r="276" ht="13" hidden="1" x14ac:dyDescent="0.15"/>
    <row r="277" ht="13" hidden="1" x14ac:dyDescent="0.15"/>
    <row r="278" ht="13" hidden="1" x14ac:dyDescent="0.15"/>
    <row r="279" ht="13" hidden="1" x14ac:dyDescent="0.15"/>
    <row r="280" ht="13" hidden="1" x14ac:dyDescent="0.15"/>
    <row r="281" ht="13" hidden="1" x14ac:dyDescent="0.15"/>
    <row r="282" ht="13" hidden="1" x14ac:dyDescent="0.15"/>
    <row r="283" ht="13" hidden="1" x14ac:dyDescent="0.15"/>
    <row r="284" ht="13" hidden="1" x14ac:dyDescent="0.15"/>
    <row r="285" ht="13" hidden="1" x14ac:dyDescent="0.15"/>
    <row r="286" ht="13" hidden="1" x14ac:dyDescent="0.15"/>
    <row r="287" ht="13" hidden="1" x14ac:dyDescent="0.15"/>
    <row r="288" ht="13" hidden="1" x14ac:dyDescent="0.15"/>
    <row r="289" ht="13" hidden="1" x14ac:dyDescent="0.15"/>
    <row r="290" ht="13" hidden="1" x14ac:dyDescent="0.15"/>
    <row r="291" ht="13" hidden="1" x14ac:dyDescent="0.15"/>
    <row r="292" ht="13" hidden="1" x14ac:dyDescent="0.15"/>
    <row r="293" ht="13" hidden="1" x14ac:dyDescent="0.15"/>
    <row r="294" ht="13" hidden="1" x14ac:dyDescent="0.15"/>
    <row r="295" ht="13" hidden="1" x14ac:dyDescent="0.15"/>
    <row r="296" ht="13" hidden="1" x14ac:dyDescent="0.15"/>
    <row r="297" ht="13" hidden="1" x14ac:dyDescent="0.15"/>
    <row r="298" ht="13" hidden="1" x14ac:dyDescent="0.15"/>
    <row r="299" ht="13" hidden="1" x14ac:dyDescent="0.15"/>
    <row r="300" ht="13" hidden="1" x14ac:dyDescent="0.15"/>
    <row r="301" ht="13" hidden="1" x14ac:dyDescent="0.15"/>
    <row r="302" ht="13" hidden="1" x14ac:dyDescent="0.15"/>
    <row r="303" ht="13" hidden="1" x14ac:dyDescent="0.15"/>
    <row r="304" ht="13" hidden="1" x14ac:dyDescent="0.15"/>
    <row r="305" ht="13" hidden="1" x14ac:dyDescent="0.15"/>
    <row r="306" ht="13" hidden="1" x14ac:dyDescent="0.15"/>
    <row r="307" ht="13" hidden="1" x14ac:dyDescent="0.15"/>
    <row r="308" ht="13" hidden="1" x14ac:dyDescent="0.15"/>
    <row r="309" ht="13" hidden="1" x14ac:dyDescent="0.15"/>
    <row r="310" ht="13" hidden="1" x14ac:dyDescent="0.15"/>
    <row r="311" ht="13" hidden="1" x14ac:dyDescent="0.15"/>
    <row r="312" ht="13" hidden="1" x14ac:dyDescent="0.15"/>
    <row r="313" ht="13" hidden="1" x14ac:dyDescent="0.15"/>
    <row r="314" ht="13" hidden="1" x14ac:dyDescent="0.15"/>
    <row r="315" ht="13" hidden="1" x14ac:dyDescent="0.15"/>
    <row r="316" ht="13" hidden="1" x14ac:dyDescent="0.15"/>
    <row r="317" ht="13" hidden="1" x14ac:dyDescent="0.15"/>
    <row r="318" ht="13" hidden="1" x14ac:dyDescent="0.15"/>
    <row r="319" ht="13" hidden="1" x14ac:dyDescent="0.15"/>
    <row r="320" ht="13" hidden="1" x14ac:dyDescent="0.15"/>
    <row r="321" ht="13" hidden="1" x14ac:dyDescent="0.15"/>
    <row r="322" ht="13" hidden="1" x14ac:dyDescent="0.15"/>
    <row r="323" ht="13" hidden="1" x14ac:dyDescent="0.15"/>
    <row r="324" ht="13" hidden="1" x14ac:dyDescent="0.15"/>
    <row r="325" ht="13" hidden="1" x14ac:dyDescent="0.15"/>
    <row r="326" ht="13" hidden="1" x14ac:dyDescent="0.15"/>
    <row r="327" ht="13" hidden="1" x14ac:dyDescent="0.15"/>
    <row r="328" ht="13" hidden="1" x14ac:dyDescent="0.15"/>
    <row r="329" ht="13" hidden="1" x14ac:dyDescent="0.15"/>
    <row r="330" ht="13" hidden="1" x14ac:dyDescent="0.15"/>
    <row r="331" ht="13" hidden="1" x14ac:dyDescent="0.15"/>
    <row r="332" ht="13" hidden="1" x14ac:dyDescent="0.15"/>
    <row r="333" ht="13" hidden="1" x14ac:dyDescent="0.15"/>
    <row r="334" ht="13" hidden="1" x14ac:dyDescent="0.15"/>
    <row r="335" ht="13" hidden="1" x14ac:dyDescent="0.15"/>
    <row r="336" ht="13" hidden="1" x14ac:dyDescent="0.15"/>
    <row r="337" ht="13" hidden="1" x14ac:dyDescent="0.15"/>
    <row r="338" ht="13" hidden="1" x14ac:dyDescent="0.15"/>
    <row r="339" ht="13" hidden="1" x14ac:dyDescent="0.15"/>
    <row r="340" ht="13" hidden="1" x14ac:dyDescent="0.15"/>
    <row r="341" ht="13" hidden="1" x14ac:dyDescent="0.15"/>
    <row r="342" ht="13" hidden="1" x14ac:dyDescent="0.15"/>
    <row r="343" ht="13" hidden="1" x14ac:dyDescent="0.15"/>
    <row r="344" ht="13" hidden="1" x14ac:dyDescent="0.15"/>
    <row r="345" ht="13" hidden="1" x14ac:dyDescent="0.15"/>
    <row r="346" ht="13" hidden="1" x14ac:dyDescent="0.15"/>
    <row r="347" ht="13" hidden="1" x14ac:dyDescent="0.15"/>
    <row r="348" ht="13" hidden="1" x14ac:dyDescent="0.15"/>
    <row r="349" ht="13" hidden="1" x14ac:dyDescent="0.15"/>
    <row r="350" ht="13" hidden="1" x14ac:dyDescent="0.15"/>
    <row r="351" ht="13" hidden="1" x14ac:dyDescent="0.15"/>
    <row r="352" ht="13" hidden="1" x14ac:dyDescent="0.15"/>
    <row r="353" ht="13" hidden="1" x14ac:dyDescent="0.15"/>
    <row r="354" ht="13" hidden="1" x14ac:dyDescent="0.15"/>
    <row r="355" ht="13" hidden="1" x14ac:dyDescent="0.15"/>
    <row r="356" ht="13" hidden="1" x14ac:dyDescent="0.15"/>
    <row r="357" ht="13" hidden="1" x14ac:dyDescent="0.15"/>
    <row r="358" ht="13" hidden="1" x14ac:dyDescent="0.15"/>
    <row r="359" ht="13" hidden="1" x14ac:dyDescent="0.15"/>
    <row r="360" ht="13" hidden="1" x14ac:dyDescent="0.15"/>
    <row r="361" ht="13" hidden="1" x14ac:dyDescent="0.15"/>
    <row r="362" ht="13" hidden="1" x14ac:dyDescent="0.15"/>
    <row r="363" ht="13" hidden="1" x14ac:dyDescent="0.15"/>
    <row r="364" ht="13" hidden="1" x14ac:dyDescent="0.15"/>
    <row r="365" ht="13" hidden="1" x14ac:dyDescent="0.15"/>
    <row r="366" ht="13" hidden="1" x14ac:dyDescent="0.15"/>
    <row r="367" ht="13" hidden="1" x14ac:dyDescent="0.15"/>
    <row r="368" ht="13" hidden="1" x14ac:dyDescent="0.15"/>
    <row r="369" ht="13" hidden="1" x14ac:dyDescent="0.15"/>
    <row r="370" ht="13" hidden="1" x14ac:dyDescent="0.15"/>
    <row r="371" ht="13" hidden="1" x14ac:dyDescent="0.15"/>
    <row r="372" ht="13" hidden="1" x14ac:dyDescent="0.15"/>
    <row r="373" ht="13" hidden="1" x14ac:dyDescent="0.15"/>
    <row r="374" ht="13" hidden="1" x14ac:dyDescent="0.15"/>
    <row r="375" ht="13" hidden="1" x14ac:dyDescent="0.15"/>
    <row r="376" ht="13" hidden="1" x14ac:dyDescent="0.15"/>
    <row r="377" ht="13" hidden="1" x14ac:dyDescent="0.15"/>
    <row r="378" ht="13" hidden="1" x14ac:dyDescent="0.15"/>
    <row r="379" ht="13" hidden="1" x14ac:dyDescent="0.15"/>
    <row r="380" ht="13" hidden="1" x14ac:dyDescent="0.15"/>
    <row r="381" ht="13" hidden="1" x14ac:dyDescent="0.15"/>
    <row r="382" ht="13" hidden="1" x14ac:dyDescent="0.15"/>
    <row r="383" ht="13" hidden="1" x14ac:dyDescent="0.15"/>
    <row r="384" ht="13" hidden="1" x14ac:dyDescent="0.15"/>
    <row r="385" ht="13" hidden="1" x14ac:dyDescent="0.15"/>
    <row r="386" ht="13" hidden="1" x14ac:dyDescent="0.15"/>
    <row r="387" ht="13" hidden="1" x14ac:dyDescent="0.15"/>
    <row r="388" ht="13" hidden="1" x14ac:dyDescent="0.15"/>
    <row r="389" ht="13" hidden="1" x14ac:dyDescent="0.15"/>
    <row r="390" ht="13" hidden="1" x14ac:dyDescent="0.15"/>
    <row r="391" ht="13" hidden="1" x14ac:dyDescent="0.15"/>
    <row r="392" ht="13" hidden="1" x14ac:dyDescent="0.15"/>
    <row r="393" ht="13" hidden="1" x14ac:dyDescent="0.15"/>
    <row r="394" ht="13" hidden="1" x14ac:dyDescent="0.15"/>
    <row r="395" ht="13" hidden="1" x14ac:dyDescent="0.15"/>
    <row r="396" ht="13" hidden="1" x14ac:dyDescent="0.15"/>
    <row r="397" ht="13" hidden="1" x14ac:dyDescent="0.15"/>
    <row r="398" ht="13" hidden="1" x14ac:dyDescent="0.15"/>
    <row r="399" ht="13" hidden="1" x14ac:dyDescent="0.15"/>
    <row r="400" ht="13" hidden="1" x14ac:dyDescent="0.15"/>
    <row r="401" ht="13" hidden="1" x14ac:dyDescent="0.15"/>
    <row r="402" ht="13" hidden="1" x14ac:dyDescent="0.15"/>
    <row r="403" ht="13" hidden="1" x14ac:dyDescent="0.15"/>
    <row r="404" ht="13" hidden="1" x14ac:dyDescent="0.15"/>
    <row r="405" ht="13" hidden="1" x14ac:dyDescent="0.15"/>
    <row r="406" ht="13" hidden="1" x14ac:dyDescent="0.15"/>
    <row r="407" ht="13" hidden="1" x14ac:dyDescent="0.15"/>
    <row r="408" ht="13" hidden="1" x14ac:dyDescent="0.15"/>
    <row r="409" ht="13" hidden="1" x14ac:dyDescent="0.15"/>
    <row r="410" ht="13" hidden="1" x14ac:dyDescent="0.15"/>
    <row r="411" ht="13" hidden="1" x14ac:dyDescent="0.15"/>
    <row r="412" ht="13" hidden="1" x14ac:dyDescent="0.15"/>
    <row r="413" ht="13" hidden="1" x14ac:dyDescent="0.15"/>
    <row r="414" ht="13" hidden="1" x14ac:dyDescent="0.15"/>
    <row r="415" ht="13" hidden="1" x14ac:dyDescent="0.15"/>
    <row r="416" ht="13" hidden="1" x14ac:dyDescent="0.15"/>
    <row r="417" ht="13" hidden="1" x14ac:dyDescent="0.15"/>
    <row r="418" ht="13" hidden="1" x14ac:dyDescent="0.15"/>
    <row r="419" ht="13" hidden="1" x14ac:dyDescent="0.15"/>
    <row r="420" ht="13" hidden="1" x14ac:dyDescent="0.15"/>
    <row r="421" ht="13" hidden="1" x14ac:dyDescent="0.15"/>
    <row r="422" ht="13" hidden="1" x14ac:dyDescent="0.15"/>
    <row r="423" ht="13" hidden="1" x14ac:dyDescent="0.15"/>
    <row r="424" ht="13" hidden="1" x14ac:dyDescent="0.15"/>
    <row r="425" ht="13" hidden="1" x14ac:dyDescent="0.15"/>
    <row r="426" ht="13" hidden="1" x14ac:dyDescent="0.15"/>
    <row r="427" ht="13" hidden="1" x14ac:dyDescent="0.15"/>
    <row r="428" ht="13" hidden="1" x14ac:dyDescent="0.15"/>
    <row r="429" ht="13" hidden="1" x14ac:dyDescent="0.15"/>
    <row r="430" ht="13" hidden="1" x14ac:dyDescent="0.15"/>
    <row r="431" ht="13" hidden="1" x14ac:dyDescent="0.15"/>
    <row r="432" ht="13" hidden="1" x14ac:dyDescent="0.15"/>
    <row r="433" ht="13" hidden="1" x14ac:dyDescent="0.15"/>
    <row r="434" ht="13" hidden="1" x14ac:dyDescent="0.15"/>
    <row r="435" ht="13" hidden="1" x14ac:dyDescent="0.15"/>
    <row r="436" ht="13" hidden="1" x14ac:dyDescent="0.15"/>
    <row r="437" ht="13" hidden="1" x14ac:dyDescent="0.15"/>
    <row r="438" ht="13" hidden="1" x14ac:dyDescent="0.15"/>
    <row r="439" ht="13" hidden="1" x14ac:dyDescent="0.15"/>
    <row r="440" ht="13" hidden="1" x14ac:dyDescent="0.15"/>
    <row r="441" ht="13" hidden="1" x14ac:dyDescent="0.15"/>
    <row r="442" ht="13" hidden="1" x14ac:dyDescent="0.15"/>
    <row r="443" ht="13" hidden="1" x14ac:dyDescent="0.15"/>
    <row r="444" ht="13" hidden="1" x14ac:dyDescent="0.15"/>
    <row r="445" ht="13" hidden="1" x14ac:dyDescent="0.15"/>
    <row r="446" ht="13" hidden="1" x14ac:dyDescent="0.15"/>
    <row r="447" ht="13" hidden="1" x14ac:dyDescent="0.15"/>
    <row r="448" ht="13" hidden="1" x14ac:dyDescent="0.15"/>
    <row r="449" ht="13" hidden="1" x14ac:dyDescent="0.15"/>
    <row r="450" ht="13" hidden="1" x14ac:dyDescent="0.15"/>
    <row r="451" ht="13" hidden="1" x14ac:dyDescent="0.15"/>
    <row r="452" ht="13" hidden="1" x14ac:dyDescent="0.15"/>
    <row r="453" ht="13" hidden="1" x14ac:dyDescent="0.15"/>
    <row r="454" ht="13" hidden="1" x14ac:dyDescent="0.15"/>
    <row r="455" ht="13" hidden="1" x14ac:dyDescent="0.15"/>
    <row r="456" ht="13" hidden="1" x14ac:dyDescent="0.15"/>
    <row r="457" ht="13" hidden="1" x14ac:dyDescent="0.15"/>
    <row r="458" ht="13" hidden="1" x14ac:dyDescent="0.15"/>
    <row r="459" ht="13" hidden="1" x14ac:dyDescent="0.15"/>
    <row r="460" ht="13" hidden="1" x14ac:dyDescent="0.15"/>
    <row r="461" ht="13" hidden="1" x14ac:dyDescent="0.15"/>
    <row r="462" ht="13" hidden="1" x14ac:dyDescent="0.15"/>
    <row r="463" ht="13" hidden="1" x14ac:dyDescent="0.15"/>
    <row r="464" ht="13" hidden="1" x14ac:dyDescent="0.15"/>
    <row r="465" ht="13" hidden="1" x14ac:dyDescent="0.15"/>
    <row r="466" ht="13" hidden="1" x14ac:dyDescent="0.15"/>
    <row r="467" ht="13" hidden="1" x14ac:dyDescent="0.15"/>
    <row r="468" ht="13" hidden="1" x14ac:dyDescent="0.15"/>
    <row r="469" ht="13" hidden="1" x14ac:dyDescent="0.15"/>
    <row r="470" ht="13" hidden="1" x14ac:dyDescent="0.15"/>
    <row r="471" ht="13" hidden="1" x14ac:dyDescent="0.15"/>
    <row r="472" ht="13" hidden="1" x14ac:dyDescent="0.15"/>
    <row r="473" ht="13" hidden="1" x14ac:dyDescent="0.15"/>
    <row r="474" ht="13" hidden="1" x14ac:dyDescent="0.15"/>
    <row r="475" ht="13" hidden="1" x14ac:dyDescent="0.15"/>
    <row r="476" ht="13" hidden="1" x14ac:dyDescent="0.15"/>
    <row r="477" ht="13" hidden="1" x14ac:dyDescent="0.15"/>
    <row r="478" ht="13" hidden="1" x14ac:dyDescent="0.15"/>
    <row r="479" ht="13" hidden="1" x14ac:dyDescent="0.15"/>
    <row r="480" ht="13" hidden="1" x14ac:dyDescent="0.15"/>
    <row r="481" ht="13" hidden="1" x14ac:dyDescent="0.15"/>
    <row r="482" ht="13" hidden="1" x14ac:dyDescent="0.15"/>
    <row r="483" ht="13" hidden="1" x14ac:dyDescent="0.15"/>
    <row r="484" ht="13" hidden="1" x14ac:dyDescent="0.15"/>
    <row r="485" ht="13" hidden="1" x14ac:dyDescent="0.15"/>
    <row r="486" ht="13" hidden="1" x14ac:dyDescent="0.15"/>
    <row r="487" ht="13" hidden="1" x14ac:dyDescent="0.15"/>
    <row r="488" ht="13" hidden="1" x14ac:dyDescent="0.15"/>
    <row r="489" ht="13" hidden="1" x14ac:dyDescent="0.15"/>
    <row r="490" ht="13" hidden="1" x14ac:dyDescent="0.15"/>
    <row r="491" ht="13" hidden="1" x14ac:dyDescent="0.15"/>
    <row r="492" ht="13" hidden="1" x14ac:dyDescent="0.15"/>
    <row r="493" ht="13" hidden="1" x14ac:dyDescent="0.15"/>
    <row r="494" ht="13" hidden="1" x14ac:dyDescent="0.15"/>
    <row r="495" ht="13" hidden="1" x14ac:dyDescent="0.15"/>
    <row r="496" ht="13" hidden="1" x14ac:dyDescent="0.15"/>
    <row r="497" ht="13" hidden="1" x14ac:dyDescent="0.15"/>
    <row r="498" ht="13" hidden="1" x14ac:dyDescent="0.15"/>
    <row r="499" ht="13" hidden="1" x14ac:dyDescent="0.15"/>
    <row r="500" ht="13" hidden="1" x14ac:dyDescent="0.15"/>
    <row r="501" ht="13" hidden="1" x14ac:dyDescent="0.15"/>
    <row r="502" ht="13" hidden="1" x14ac:dyDescent="0.15"/>
    <row r="503" ht="13" hidden="1" x14ac:dyDescent="0.15"/>
    <row r="504" ht="13" hidden="1" x14ac:dyDescent="0.15"/>
    <row r="505" ht="13" hidden="1" x14ac:dyDescent="0.15"/>
    <row r="506" ht="13" hidden="1" x14ac:dyDescent="0.15"/>
    <row r="507" ht="13" hidden="1" x14ac:dyDescent="0.15"/>
    <row r="508" ht="13" hidden="1" x14ac:dyDescent="0.15"/>
    <row r="509" ht="13" hidden="1" x14ac:dyDescent="0.15"/>
    <row r="510" ht="13" hidden="1" x14ac:dyDescent="0.15"/>
    <row r="511" ht="13" hidden="1" x14ac:dyDescent="0.15"/>
    <row r="512" ht="13" hidden="1" x14ac:dyDescent="0.15"/>
    <row r="513" ht="13" hidden="1" x14ac:dyDescent="0.15"/>
    <row r="514" ht="13" hidden="1" x14ac:dyDescent="0.15"/>
    <row r="515" ht="13" hidden="1" x14ac:dyDescent="0.15"/>
    <row r="516" ht="13" hidden="1" x14ac:dyDescent="0.15"/>
    <row r="517" ht="13" hidden="1" x14ac:dyDescent="0.15"/>
    <row r="518" ht="13" hidden="1" x14ac:dyDescent="0.15"/>
    <row r="519" ht="13" hidden="1" x14ac:dyDescent="0.15"/>
    <row r="520" ht="13" hidden="1" x14ac:dyDescent="0.15"/>
    <row r="521" ht="13" hidden="1" x14ac:dyDescent="0.15"/>
    <row r="522" ht="13" hidden="1" x14ac:dyDescent="0.15"/>
    <row r="523" ht="13" hidden="1" x14ac:dyDescent="0.15"/>
    <row r="524" ht="13" hidden="1" x14ac:dyDescent="0.15"/>
    <row r="525" ht="13" hidden="1" x14ac:dyDescent="0.15"/>
    <row r="526" ht="13" hidden="1" x14ac:dyDescent="0.15"/>
    <row r="527" ht="13" hidden="1" x14ac:dyDescent="0.15"/>
    <row r="528" ht="13" hidden="1" x14ac:dyDescent="0.15"/>
    <row r="529" ht="13" hidden="1" x14ac:dyDescent="0.15"/>
    <row r="530" ht="13" hidden="1" x14ac:dyDescent="0.15"/>
    <row r="531" ht="13" hidden="1" x14ac:dyDescent="0.15"/>
    <row r="532" ht="13" hidden="1" x14ac:dyDescent="0.15"/>
    <row r="533" ht="13" hidden="1" x14ac:dyDescent="0.15"/>
    <row r="534" ht="13" hidden="1" x14ac:dyDescent="0.15"/>
    <row r="535" ht="13" hidden="1" x14ac:dyDescent="0.15"/>
    <row r="536" ht="13" hidden="1" x14ac:dyDescent="0.15"/>
    <row r="537" ht="13" hidden="1" x14ac:dyDescent="0.15"/>
    <row r="538" ht="13" hidden="1" x14ac:dyDescent="0.15"/>
    <row r="539" ht="13" hidden="1" x14ac:dyDescent="0.15"/>
    <row r="540" ht="13" hidden="1" x14ac:dyDescent="0.15"/>
    <row r="541" ht="13" hidden="1" x14ac:dyDescent="0.15"/>
    <row r="542" ht="13" hidden="1" x14ac:dyDescent="0.15"/>
    <row r="543" ht="13" hidden="1" x14ac:dyDescent="0.15"/>
    <row r="544" ht="13" hidden="1" x14ac:dyDescent="0.15"/>
    <row r="545" ht="13" hidden="1" x14ac:dyDescent="0.15"/>
    <row r="546" ht="13" hidden="1" x14ac:dyDescent="0.15"/>
    <row r="547" ht="13" hidden="1" x14ac:dyDescent="0.15"/>
    <row r="548" ht="13" hidden="1" x14ac:dyDescent="0.15"/>
    <row r="549" ht="13" hidden="1" x14ac:dyDescent="0.15"/>
    <row r="550" ht="13" hidden="1" x14ac:dyDescent="0.15"/>
    <row r="551" ht="13" hidden="1" x14ac:dyDescent="0.15"/>
    <row r="552" ht="13" hidden="1" x14ac:dyDescent="0.15"/>
    <row r="553" ht="13" hidden="1" x14ac:dyDescent="0.15"/>
    <row r="554" ht="13" hidden="1" x14ac:dyDescent="0.15"/>
    <row r="555" ht="13" hidden="1" x14ac:dyDescent="0.15"/>
    <row r="556" ht="13" hidden="1" x14ac:dyDescent="0.15"/>
    <row r="557" ht="13" hidden="1" x14ac:dyDescent="0.15"/>
    <row r="558" ht="13" hidden="1" x14ac:dyDescent="0.15"/>
    <row r="559" ht="13" hidden="1" x14ac:dyDescent="0.15"/>
    <row r="560" ht="13" hidden="1" x14ac:dyDescent="0.15"/>
    <row r="561" ht="13" hidden="1" x14ac:dyDescent="0.15"/>
    <row r="562" ht="13" hidden="1" x14ac:dyDescent="0.15"/>
    <row r="563" ht="13" hidden="1" x14ac:dyDescent="0.15"/>
    <row r="564" ht="13" hidden="1" x14ac:dyDescent="0.15"/>
    <row r="565" ht="13" hidden="1" x14ac:dyDescent="0.15"/>
    <row r="566" ht="13" hidden="1" x14ac:dyDescent="0.15"/>
    <row r="567" ht="13" hidden="1" x14ac:dyDescent="0.15"/>
    <row r="568" ht="13" hidden="1" x14ac:dyDescent="0.15"/>
    <row r="569" ht="13" hidden="1" x14ac:dyDescent="0.15"/>
    <row r="570" ht="13" hidden="1" x14ac:dyDescent="0.15"/>
    <row r="571" ht="13" hidden="1" x14ac:dyDescent="0.15"/>
    <row r="572" ht="13" hidden="1" x14ac:dyDescent="0.15"/>
    <row r="573" ht="13" hidden="1" x14ac:dyDescent="0.15"/>
    <row r="574" ht="13" hidden="1" x14ac:dyDescent="0.15"/>
    <row r="575" ht="13" hidden="1" x14ac:dyDescent="0.15"/>
    <row r="576" ht="13" hidden="1" x14ac:dyDescent="0.15"/>
    <row r="577" ht="13" hidden="1" x14ac:dyDescent="0.15"/>
    <row r="578" ht="13" hidden="1" x14ac:dyDescent="0.15"/>
    <row r="579" ht="13" hidden="1" x14ac:dyDescent="0.15"/>
    <row r="580" ht="13" hidden="1" x14ac:dyDescent="0.15"/>
    <row r="581" ht="13" hidden="1" x14ac:dyDescent="0.15"/>
    <row r="582" ht="13" hidden="1" x14ac:dyDescent="0.15"/>
    <row r="583" ht="13" hidden="1" x14ac:dyDescent="0.15"/>
    <row r="584" ht="13" hidden="1" x14ac:dyDescent="0.15"/>
    <row r="585" ht="13" hidden="1" x14ac:dyDescent="0.15"/>
    <row r="586" ht="13" hidden="1" x14ac:dyDescent="0.15"/>
    <row r="587" ht="13" hidden="1" x14ac:dyDescent="0.15"/>
    <row r="588" ht="13" hidden="1" x14ac:dyDescent="0.15"/>
    <row r="589" ht="13" hidden="1" x14ac:dyDescent="0.15"/>
    <row r="590" ht="13" hidden="1" x14ac:dyDescent="0.15"/>
    <row r="591" ht="13" hidden="1" x14ac:dyDescent="0.15"/>
    <row r="592" ht="13" hidden="1" x14ac:dyDescent="0.15"/>
    <row r="593" ht="13" hidden="1" x14ac:dyDescent="0.15"/>
    <row r="594" ht="13" hidden="1" x14ac:dyDescent="0.15"/>
    <row r="595" ht="13" hidden="1" x14ac:dyDescent="0.15"/>
    <row r="596" ht="13" hidden="1" x14ac:dyDescent="0.15"/>
    <row r="597" ht="13" hidden="1" x14ac:dyDescent="0.15"/>
    <row r="598" ht="13" hidden="1" x14ac:dyDescent="0.15"/>
    <row r="599" ht="13" hidden="1" x14ac:dyDescent="0.15"/>
    <row r="600" ht="13" hidden="1" x14ac:dyDescent="0.15"/>
    <row r="601" ht="13" hidden="1" x14ac:dyDescent="0.15"/>
    <row r="602" ht="13" hidden="1" x14ac:dyDescent="0.15"/>
    <row r="603" ht="13" hidden="1" x14ac:dyDescent="0.15"/>
    <row r="604" ht="13" hidden="1" x14ac:dyDescent="0.15"/>
    <row r="605" ht="13" hidden="1" x14ac:dyDescent="0.15"/>
    <row r="606" ht="13" hidden="1" x14ac:dyDescent="0.15"/>
    <row r="607" ht="13" hidden="1" x14ac:dyDescent="0.15"/>
    <row r="608" ht="13" hidden="1" x14ac:dyDescent="0.15"/>
    <row r="609" ht="13" hidden="1" x14ac:dyDescent="0.15"/>
    <row r="610" ht="13" hidden="1" x14ac:dyDescent="0.15"/>
    <row r="611" ht="13" hidden="1" x14ac:dyDescent="0.15"/>
    <row r="612" ht="13" hidden="1" x14ac:dyDescent="0.15"/>
    <row r="613" ht="13" hidden="1" x14ac:dyDescent="0.15"/>
    <row r="614" ht="13" hidden="1" x14ac:dyDescent="0.15"/>
    <row r="615" ht="13" hidden="1" x14ac:dyDescent="0.15"/>
    <row r="616" ht="13" hidden="1" x14ac:dyDescent="0.15"/>
    <row r="617" ht="13" hidden="1" x14ac:dyDescent="0.15"/>
    <row r="618" ht="13" hidden="1" x14ac:dyDescent="0.15"/>
    <row r="619" ht="13" hidden="1" x14ac:dyDescent="0.15"/>
    <row r="620" ht="13" hidden="1" x14ac:dyDescent="0.15"/>
    <row r="621" ht="13" hidden="1" x14ac:dyDescent="0.15"/>
    <row r="622" ht="13" hidden="1" x14ac:dyDescent="0.15"/>
    <row r="623" ht="13" hidden="1" x14ac:dyDescent="0.15"/>
    <row r="624" ht="13" hidden="1" x14ac:dyDescent="0.15"/>
    <row r="625" ht="13" hidden="1" x14ac:dyDescent="0.15"/>
    <row r="626" ht="13" hidden="1" x14ac:dyDescent="0.15"/>
    <row r="627" ht="13" hidden="1" x14ac:dyDescent="0.15"/>
    <row r="628" ht="13" hidden="1" x14ac:dyDescent="0.15"/>
    <row r="629" ht="13" hidden="1" x14ac:dyDescent="0.15"/>
    <row r="630" ht="13" hidden="1" x14ac:dyDescent="0.15"/>
    <row r="631" ht="13" hidden="1" x14ac:dyDescent="0.15"/>
    <row r="632" ht="13" hidden="1" x14ac:dyDescent="0.15"/>
    <row r="633" ht="13" hidden="1" x14ac:dyDescent="0.15"/>
    <row r="634" ht="13" hidden="1" x14ac:dyDescent="0.15"/>
    <row r="635" ht="13" hidden="1" x14ac:dyDescent="0.15"/>
    <row r="636" ht="13" hidden="1" x14ac:dyDescent="0.15"/>
    <row r="637" ht="13" hidden="1" x14ac:dyDescent="0.15"/>
    <row r="638" ht="13" hidden="1" x14ac:dyDescent="0.15"/>
    <row r="639" ht="13" hidden="1" x14ac:dyDescent="0.15"/>
    <row r="640" ht="13" hidden="1" x14ac:dyDescent="0.15"/>
    <row r="641" ht="13" hidden="1" x14ac:dyDescent="0.15"/>
    <row r="642" ht="13" hidden="1" x14ac:dyDescent="0.15"/>
    <row r="643" ht="13" hidden="1" x14ac:dyDescent="0.15"/>
    <row r="644" ht="13" hidden="1" x14ac:dyDescent="0.15"/>
    <row r="645" ht="13" hidden="1" x14ac:dyDescent="0.15"/>
    <row r="646" ht="13" hidden="1" x14ac:dyDescent="0.15"/>
    <row r="647" ht="13" hidden="1" x14ac:dyDescent="0.15"/>
    <row r="648" ht="13" hidden="1" x14ac:dyDescent="0.15"/>
    <row r="649" ht="13" hidden="1" x14ac:dyDescent="0.15"/>
    <row r="650" ht="13" hidden="1" x14ac:dyDescent="0.15"/>
    <row r="651" ht="13" hidden="1" x14ac:dyDescent="0.15"/>
    <row r="652" ht="13" hidden="1" x14ac:dyDescent="0.15"/>
    <row r="653" ht="13" hidden="1" x14ac:dyDescent="0.15"/>
    <row r="654" ht="13" hidden="1" x14ac:dyDescent="0.15"/>
    <row r="655" ht="13" hidden="1" x14ac:dyDescent="0.15"/>
    <row r="656" ht="13" hidden="1" x14ac:dyDescent="0.15"/>
    <row r="657" ht="13" hidden="1" x14ac:dyDescent="0.15"/>
    <row r="658" ht="13" hidden="1" x14ac:dyDescent="0.15"/>
    <row r="659" ht="13" hidden="1" x14ac:dyDescent="0.15"/>
    <row r="660" ht="13" hidden="1" x14ac:dyDescent="0.15"/>
    <row r="661" ht="13" hidden="1" x14ac:dyDescent="0.15"/>
    <row r="662" ht="13" hidden="1" x14ac:dyDescent="0.15"/>
    <row r="663" ht="13" hidden="1" x14ac:dyDescent="0.15"/>
    <row r="664" ht="13" hidden="1" x14ac:dyDescent="0.15"/>
    <row r="665" ht="13" hidden="1" x14ac:dyDescent="0.15"/>
    <row r="666" ht="13" hidden="1" x14ac:dyDescent="0.15"/>
    <row r="667" ht="13" hidden="1" x14ac:dyDescent="0.15"/>
    <row r="668" ht="13" hidden="1" x14ac:dyDescent="0.15"/>
    <row r="669" ht="13" hidden="1" x14ac:dyDescent="0.15"/>
    <row r="670" ht="13" hidden="1" x14ac:dyDescent="0.15"/>
    <row r="671" ht="13" hidden="1" x14ac:dyDescent="0.15"/>
    <row r="672" ht="13" hidden="1" x14ac:dyDescent="0.15"/>
    <row r="673" ht="13" hidden="1" x14ac:dyDescent="0.15"/>
    <row r="674" ht="13" hidden="1" x14ac:dyDescent="0.15"/>
    <row r="675" ht="13" hidden="1" x14ac:dyDescent="0.15"/>
    <row r="676" ht="13" hidden="1" x14ac:dyDescent="0.15"/>
    <row r="677" ht="13" hidden="1" x14ac:dyDescent="0.15"/>
    <row r="678" ht="13" hidden="1" x14ac:dyDescent="0.15"/>
    <row r="679" ht="13" hidden="1" x14ac:dyDescent="0.15"/>
    <row r="680" ht="13" hidden="1" x14ac:dyDescent="0.15"/>
    <row r="681" ht="13" hidden="1" x14ac:dyDescent="0.15"/>
    <row r="682" ht="13" hidden="1" x14ac:dyDescent="0.15"/>
    <row r="683" ht="13" hidden="1" x14ac:dyDescent="0.15"/>
    <row r="684" ht="13" hidden="1" x14ac:dyDescent="0.15"/>
    <row r="685" ht="13" hidden="1" x14ac:dyDescent="0.15"/>
    <row r="686" ht="13" hidden="1" x14ac:dyDescent="0.15"/>
    <row r="687" ht="13" hidden="1" x14ac:dyDescent="0.15"/>
    <row r="688" ht="13" hidden="1" x14ac:dyDescent="0.15"/>
    <row r="689" ht="13" hidden="1" x14ac:dyDescent="0.15"/>
    <row r="690" ht="13" hidden="1" x14ac:dyDescent="0.15"/>
    <row r="691" ht="13" hidden="1" x14ac:dyDescent="0.15"/>
    <row r="692" ht="13" hidden="1" x14ac:dyDescent="0.15"/>
    <row r="693" ht="13" hidden="1" x14ac:dyDescent="0.15"/>
    <row r="694" ht="13" hidden="1" x14ac:dyDescent="0.15"/>
    <row r="695" ht="13" hidden="1" x14ac:dyDescent="0.15"/>
    <row r="696" ht="13" hidden="1" x14ac:dyDescent="0.15"/>
    <row r="697" ht="13" hidden="1" x14ac:dyDescent="0.15"/>
    <row r="698" ht="13" hidden="1" x14ac:dyDescent="0.15"/>
    <row r="699" ht="13" hidden="1" x14ac:dyDescent="0.15"/>
    <row r="700" ht="13" hidden="1" x14ac:dyDescent="0.15"/>
    <row r="701" ht="13" hidden="1" x14ac:dyDescent="0.15"/>
    <row r="702" ht="13" hidden="1" x14ac:dyDescent="0.15"/>
    <row r="703" ht="13" hidden="1" x14ac:dyDescent="0.15"/>
    <row r="704" ht="13" hidden="1" x14ac:dyDescent="0.15"/>
    <row r="705" ht="13" hidden="1" x14ac:dyDescent="0.15"/>
    <row r="706" ht="13" hidden="1" x14ac:dyDescent="0.15"/>
    <row r="707" ht="13" hidden="1" x14ac:dyDescent="0.15"/>
    <row r="708" ht="13" hidden="1" x14ac:dyDescent="0.15"/>
    <row r="709" ht="13" hidden="1" x14ac:dyDescent="0.15"/>
    <row r="710" ht="13" hidden="1" x14ac:dyDescent="0.15"/>
    <row r="711" ht="13" hidden="1" x14ac:dyDescent="0.15"/>
    <row r="712" ht="13" hidden="1" x14ac:dyDescent="0.15"/>
    <row r="713" ht="13" hidden="1" x14ac:dyDescent="0.15"/>
    <row r="714" ht="13" hidden="1" x14ac:dyDescent="0.15"/>
    <row r="715" ht="13" hidden="1" x14ac:dyDescent="0.15"/>
    <row r="716" ht="13" hidden="1" x14ac:dyDescent="0.15"/>
    <row r="717" ht="13" hidden="1" x14ac:dyDescent="0.15"/>
    <row r="718" ht="13" hidden="1" x14ac:dyDescent="0.15"/>
    <row r="719" ht="13" hidden="1" x14ac:dyDescent="0.15"/>
    <row r="720" ht="13" hidden="1" x14ac:dyDescent="0.15"/>
    <row r="721" ht="13" hidden="1" x14ac:dyDescent="0.15"/>
    <row r="722" ht="13" hidden="1" x14ac:dyDescent="0.15"/>
    <row r="723" ht="13" hidden="1" x14ac:dyDescent="0.15"/>
    <row r="724" ht="13" hidden="1" x14ac:dyDescent="0.15"/>
    <row r="725" ht="13" hidden="1" x14ac:dyDescent="0.15"/>
    <row r="726" ht="13" hidden="1" x14ac:dyDescent="0.15"/>
    <row r="727" ht="13" hidden="1" x14ac:dyDescent="0.15"/>
    <row r="728" ht="13" hidden="1" x14ac:dyDescent="0.15"/>
    <row r="729" ht="13" hidden="1" x14ac:dyDescent="0.15"/>
    <row r="730" ht="13" hidden="1" x14ac:dyDescent="0.15"/>
    <row r="731" ht="13" hidden="1" x14ac:dyDescent="0.15"/>
    <row r="732" ht="13" hidden="1" x14ac:dyDescent="0.15"/>
    <row r="733" ht="13" hidden="1" x14ac:dyDescent="0.15"/>
    <row r="734" ht="13" hidden="1" x14ac:dyDescent="0.15"/>
    <row r="735" ht="13" hidden="1" x14ac:dyDescent="0.15"/>
    <row r="736" ht="13" hidden="1" x14ac:dyDescent="0.15"/>
    <row r="737" ht="13" hidden="1" x14ac:dyDescent="0.15"/>
    <row r="738" ht="13" hidden="1" x14ac:dyDescent="0.15"/>
    <row r="739" ht="13" hidden="1" x14ac:dyDescent="0.15"/>
    <row r="740" ht="13" hidden="1" x14ac:dyDescent="0.15"/>
    <row r="741" ht="13" hidden="1" x14ac:dyDescent="0.15"/>
    <row r="742" ht="13" hidden="1" x14ac:dyDescent="0.15"/>
    <row r="743" ht="13" hidden="1" x14ac:dyDescent="0.15"/>
    <row r="744" ht="13" hidden="1" x14ac:dyDescent="0.15"/>
    <row r="745" ht="13" hidden="1" x14ac:dyDescent="0.15"/>
    <row r="746" ht="13" hidden="1" x14ac:dyDescent="0.15"/>
    <row r="747" ht="13" hidden="1" x14ac:dyDescent="0.15"/>
    <row r="748" ht="13" hidden="1" x14ac:dyDescent="0.15"/>
    <row r="749" ht="13" hidden="1" x14ac:dyDescent="0.15"/>
    <row r="750" ht="13" hidden="1" x14ac:dyDescent="0.15"/>
    <row r="751" ht="13" hidden="1" x14ac:dyDescent="0.15"/>
    <row r="752" ht="13" hidden="1" x14ac:dyDescent="0.15"/>
    <row r="753" ht="13" hidden="1" x14ac:dyDescent="0.15"/>
    <row r="754" ht="13" hidden="1" x14ac:dyDescent="0.15"/>
    <row r="755" ht="13" hidden="1" x14ac:dyDescent="0.15"/>
    <row r="756" ht="13" hidden="1" x14ac:dyDescent="0.15"/>
    <row r="757" ht="13" hidden="1" x14ac:dyDescent="0.15"/>
    <row r="758" ht="13" hidden="1" x14ac:dyDescent="0.15"/>
    <row r="759" ht="13" hidden="1" x14ac:dyDescent="0.15"/>
    <row r="760" ht="13" hidden="1" x14ac:dyDescent="0.15"/>
    <row r="761" ht="13" hidden="1" x14ac:dyDescent="0.15"/>
    <row r="762" ht="13" hidden="1" x14ac:dyDescent="0.15"/>
    <row r="763" ht="13" hidden="1" x14ac:dyDescent="0.15"/>
    <row r="764" ht="13" hidden="1" x14ac:dyDescent="0.15"/>
    <row r="765" ht="13" hidden="1" x14ac:dyDescent="0.15"/>
    <row r="766" ht="13" hidden="1" x14ac:dyDescent="0.15"/>
    <row r="767" ht="13" hidden="1" x14ac:dyDescent="0.15"/>
    <row r="768" ht="13" hidden="1" x14ac:dyDescent="0.15"/>
    <row r="769" ht="13" hidden="1" x14ac:dyDescent="0.15"/>
    <row r="770" ht="13" hidden="1" x14ac:dyDescent="0.15"/>
    <row r="771" ht="13" hidden="1" x14ac:dyDescent="0.15"/>
    <row r="772" ht="13" hidden="1" x14ac:dyDescent="0.15"/>
    <row r="773" ht="13" hidden="1" x14ac:dyDescent="0.15"/>
    <row r="774" ht="13" hidden="1" x14ac:dyDescent="0.15"/>
    <row r="775" ht="13" hidden="1" x14ac:dyDescent="0.15"/>
    <row r="776" ht="13" hidden="1" x14ac:dyDescent="0.15"/>
    <row r="777" ht="13" hidden="1" x14ac:dyDescent="0.15"/>
    <row r="778" ht="13" hidden="1" x14ac:dyDescent="0.15"/>
    <row r="779" ht="13" hidden="1" x14ac:dyDescent="0.15"/>
    <row r="780" ht="13" hidden="1" x14ac:dyDescent="0.15"/>
    <row r="781" ht="13" hidden="1" x14ac:dyDescent="0.15"/>
    <row r="782" ht="13" hidden="1" x14ac:dyDescent="0.15"/>
    <row r="783" ht="13" hidden="1" x14ac:dyDescent="0.15"/>
    <row r="784" ht="13" hidden="1" x14ac:dyDescent="0.15"/>
    <row r="785" ht="13" hidden="1" x14ac:dyDescent="0.15"/>
    <row r="786" ht="13" hidden="1" x14ac:dyDescent="0.15"/>
    <row r="787" ht="13" hidden="1" x14ac:dyDescent="0.15"/>
    <row r="788" ht="13" hidden="1" x14ac:dyDescent="0.15"/>
    <row r="789" ht="13" hidden="1" x14ac:dyDescent="0.15"/>
    <row r="790" ht="13" hidden="1" x14ac:dyDescent="0.15"/>
    <row r="791" ht="13" hidden="1" x14ac:dyDescent="0.15"/>
    <row r="792" ht="13" hidden="1" x14ac:dyDescent="0.15"/>
    <row r="793" ht="13" hidden="1" x14ac:dyDescent="0.15"/>
    <row r="794" ht="13" hidden="1" x14ac:dyDescent="0.15"/>
    <row r="795" ht="13" hidden="1" x14ac:dyDescent="0.15"/>
    <row r="796" ht="13" hidden="1" x14ac:dyDescent="0.15"/>
    <row r="797" ht="13" hidden="1" x14ac:dyDescent="0.15"/>
    <row r="798" ht="13" hidden="1" x14ac:dyDescent="0.15"/>
    <row r="799" ht="13" hidden="1" x14ac:dyDescent="0.15"/>
    <row r="800" ht="13" hidden="1" x14ac:dyDescent="0.15"/>
    <row r="801" ht="13" hidden="1" x14ac:dyDescent="0.15"/>
    <row r="802" ht="13" hidden="1" x14ac:dyDescent="0.15"/>
    <row r="803" ht="13" hidden="1" x14ac:dyDescent="0.15"/>
    <row r="804" ht="13" hidden="1" x14ac:dyDescent="0.15"/>
    <row r="805" ht="13" hidden="1" x14ac:dyDescent="0.15"/>
    <row r="806" ht="13" hidden="1" x14ac:dyDescent="0.15"/>
    <row r="807" ht="13" hidden="1" x14ac:dyDescent="0.15"/>
    <row r="808" ht="13" hidden="1" x14ac:dyDescent="0.15"/>
    <row r="809" ht="13" hidden="1" x14ac:dyDescent="0.15"/>
    <row r="810" ht="13" hidden="1" x14ac:dyDescent="0.15"/>
    <row r="811" ht="13" hidden="1" x14ac:dyDescent="0.15"/>
    <row r="812" ht="13" hidden="1" x14ac:dyDescent="0.15"/>
    <row r="813" ht="13" hidden="1" x14ac:dyDescent="0.15"/>
    <row r="814" ht="13" hidden="1" x14ac:dyDescent="0.15"/>
    <row r="815" ht="13" hidden="1" x14ac:dyDescent="0.15"/>
    <row r="816" ht="13" hidden="1" x14ac:dyDescent="0.15"/>
    <row r="817" ht="13" hidden="1" x14ac:dyDescent="0.15"/>
    <row r="818" ht="13" hidden="1" x14ac:dyDescent="0.15"/>
    <row r="819" ht="13" hidden="1" x14ac:dyDescent="0.15"/>
    <row r="820" ht="13" hidden="1" x14ac:dyDescent="0.15"/>
    <row r="821" ht="13" hidden="1" x14ac:dyDescent="0.15"/>
    <row r="822" ht="13" hidden="1" x14ac:dyDescent="0.15"/>
    <row r="823" ht="13" hidden="1" x14ac:dyDescent="0.15"/>
    <row r="824" ht="13" hidden="1" x14ac:dyDescent="0.15"/>
    <row r="825" ht="13" hidden="1" x14ac:dyDescent="0.15"/>
    <row r="826" ht="13" hidden="1" x14ac:dyDescent="0.15"/>
    <row r="827" ht="13" hidden="1" x14ac:dyDescent="0.15"/>
    <row r="828" ht="13" hidden="1" x14ac:dyDescent="0.15"/>
    <row r="829" ht="13" hidden="1" x14ac:dyDescent="0.15"/>
    <row r="830" ht="13" hidden="1" x14ac:dyDescent="0.15"/>
    <row r="831" ht="13" hidden="1" x14ac:dyDescent="0.15"/>
    <row r="832" ht="13" hidden="1" x14ac:dyDescent="0.15"/>
    <row r="833" ht="13" hidden="1" x14ac:dyDescent="0.15"/>
    <row r="834" ht="13" hidden="1" x14ac:dyDescent="0.15"/>
    <row r="835" ht="13" hidden="1" x14ac:dyDescent="0.15"/>
    <row r="836" ht="13" hidden="1" x14ac:dyDescent="0.15"/>
    <row r="837" ht="13" hidden="1" x14ac:dyDescent="0.15"/>
    <row r="838" ht="13" hidden="1" x14ac:dyDescent="0.15"/>
    <row r="839" ht="13" hidden="1" x14ac:dyDescent="0.15"/>
    <row r="840" ht="13" hidden="1" x14ac:dyDescent="0.15"/>
    <row r="841" ht="13" hidden="1" x14ac:dyDescent="0.15"/>
    <row r="842" ht="13" hidden="1" x14ac:dyDescent="0.15"/>
    <row r="843" ht="13" hidden="1" x14ac:dyDescent="0.15"/>
    <row r="844" ht="13" hidden="1" x14ac:dyDescent="0.15"/>
    <row r="845" ht="13" hidden="1" x14ac:dyDescent="0.15"/>
    <row r="846" ht="13" hidden="1" x14ac:dyDescent="0.15"/>
    <row r="847" ht="13" hidden="1" x14ac:dyDescent="0.15"/>
    <row r="848" ht="13" hidden="1" x14ac:dyDescent="0.15"/>
    <row r="849" ht="13" hidden="1" x14ac:dyDescent="0.15"/>
    <row r="850" ht="13" hidden="1" x14ac:dyDescent="0.15"/>
    <row r="851" ht="13" hidden="1" x14ac:dyDescent="0.15"/>
    <row r="852" ht="13" hidden="1" x14ac:dyDescent="0.15"/>
    <row r="853" ht="13" hidden="1" x14ac:dyDescent="0.15"/>
    <row r="854" ht="13" hidden="1" x14ac:dyDescent="0.15"/>
    <row r="855" ht="13" hidden="1" x14ac:dyDescent="0.15"/>
    <row r="856" ht="13" hidden="1" x14ac:dyDescent="0.15"/>
    <row r="857" ht="13" hidden="1" x14ac:dyDescent="0.15"/>
    <row r="858" ht="13" hidden="1" x14ac:dyDescent="0.15"/>
    <row r="859" ht="13" hidden="1" x14ac:dyDescent="0.15"/>
    <row r="860" ht="13" hidden="1" x14ac:dyDescent="0.15"/>
    <row r="861" ht="13" hidden="1" x14ac:dyDescent="0.15"/>
    <row r="862" ht="13" hidden="1" x14ac:dyDescent="0.15"/>
    <row r="863" ht="13" hidden="1" x14ac:dyDescent="0.15"/>
    <row r="864" ht="13" hidden="1" x14ac:dyDescent="0.15"/>
    <row r="865" ht="13" hidden="1" x14ac:dyDescent="0.15"/>
    <row r="866" ht="13" hidden="1" x14ac:dyDescent="0.15"/>
    <row r="867" ht="13" hidden="1" x14ac:dyDescent="0.15"/>
    <row r="868" ht="13" hidden="1" x14ac:dyDescent="0.15"/>
    <row r="869" ht="13" hidden="1" x14ac:dyDescent="0.15"/>
    <row r="870" ht="13" hidden="1" x14ac:dyDescent="0.15"/>
    <row r="871" ht="13" hidden="1" x14ac:dyDescent="0.15"/>
    <row r="872" ht="13" hidden="1" x14ac:dyDescent="0.15"/>
    <row r="873" ht="13" hidden="1" x14ac:dyDescent="0.15"/>
    <row r="874" ht="13" hidden="1" x14ac:dyDescent="0.15"/>
    <row r="875" ht="13" hidden="1" x14ac:dyDescent="0.15"/>
    <row r="876" ht="13" hidden="1" x14ac:dyDescent="0.15"/>
    <row r="877" ht="13" hidden="1" x14ac:dyDescent="0.15"/>
    <row r="878" ht="13" hidden="1" x14ac:dyDescent="0.15"/>
    <row r="879" ht="13" hidden="1" x14ac:dyDescent="0.15"/>
    <row r="880" ht="13" hidden="1" x14ac:dyDescent="0.15"/>
    <row r="881" ht="13" hidden="1" x14ac:dyDescent="0.15"/>
    <row r="882" ht="13" hidden="1" x14ac:dyDescent="0.15"/>
    <row r="883" ht="13" hidden="1" x14ac:dyDescent="0.15"/>
    <row r="884" ht="13" hidden="1" x14ac:dyDescent="0.15"/>
    <row r="885" ht="13" hidden="1" x14ac:dyDescent="0.15"/>
    <row r="886" ht="13" hidden="1" x14ac:dyDescent="0.15"/>
    <row r="887" ht="13" hidden="1" x14ac:dyDescent="0.15"/>
    <row r="888" ht="13" hidden="1" x14ac:dyDescent="0.15"/>
    <row r="889" ht="13" hidden="1" x14ac:dyDescent="0.15"/>
    <row r="890" ht="13" hidden="1" x14ac:dyDescent="0.15"/>
    <row r="891" ht="13" hidden="1" x14ac:dyDescent="0.15"/>
    <row r="892" ht="13" hidden="1" x14ac:dyDescent="0.15"/>
    <row r="893" ht="13" hidden="1" x14ac:dyDescent="0.15"/>
    <row r="894" ht="13" hidden="1" x14ac:dyDescent="0.15"/>
    <row r="895" ht="13" hidden="1" x14ac:dyDescent="0.15"/>
    <row r="896" ht="13" hidden="1" x14ac:dyDescent="0.15"/>
    <row r="897" ht="13" hidden="1" x14ac:dyDescent="0.15"/>
    <row r="898" ht="13" hidden="1" x14ac:dyDescent="0.15"/>
    <row r="899" ht="13" hidden="1" x14ac:dyDescent="0.15"/>
    <row r="900" ht="13" hidden="1" x14ac:dyDescent="0.15"/>
    <row r="901" ht="13" hidden="1" x14ac:dyDescent="0.15"/>
    <row r="902" ht="13" hidden="1" x14ac:dyDescent="0.15"/>
    <row r="903" ht="13" hidden="1" x14ac:dyDescent="0.15"/>
    <row r="904" ht="13" hidden="1" x14ac:dyDescent="0.15"/>
    <row r="905" ht="13" hidden="1" x14ac:dyDescent="0.15"/>
    <row r="906" ht="13" hidden="1" x14ac:dyDescent="0.15"/>
    <row r="907" ht="13" hidden="1" x14ac:dyDescent="0.15"/>
    <row r="908" ht="13" hidden="1" x14ac:dyDescent="0.15"/>
    <row r="909" ht="13" hidden="1" x14ac:dyDescent="0.15"/>
    <row r="910" ht="13" hidden="1" x14ac:dyDescent="0.15"/>
    <row r="911" ht="13" hidden="1" x14ac:dyDescent="0.15"/>
    <row r="912" ht="13" hidden="1" x14ac:dyDescent="0.15"/>
    <row r="913" ht="13" hidden="1" x14ac:dyDescent="0.15"/>
    <row r="914" ht="13" hidden="1" x14ac:dyDescent="0.15"/>
    <row r="915" ht="13" hidden="1" x14ac:dyDescent="0.15"/>
    <row r="916" ht="13" hidden="1" x14ac:dyDescent="0.15"/>
    <row r="917" ht="13" hidden="1" x14ac:dyDescent="0.15"/>
    <row r="918" ht="13" hidden="1" x14ac:dyDescent="0.15"/>
    <row r="919" ht="13" hidden="1" x14ac:dyDescent="0.15"/>
    <row r="920" ht="13" hidden="1" x14ac:dyDescent="0.15"/>
    <row r="921" ht="13" hidden="1" x14ac:dyDescent="0.15"/>
    <row r="922" ht="13" hidden="1" x14ac:dyDescent="0.15"/>
    <row r="923" ht="13" hidden="1" x14ac:dyDescent="0.15"/>
    <row r="924" ht="13" hidden="1" x14ac:dyDescent="0.15"/>
    <row r="925" ht="13" hidden="1" x14ac:dyDescent="0.15"/>
    <row r="926" ht="13" hidden="1" x14ac:dyDescent="0.15"/>
    <row r="927" ht="13" hidden="1" x14ac:dyDescent="0.15"/>
    <row r="928" ht="13" hidden="1" x14ac:dyDescent="0.15"/>
    <row r="929" ht="13" hidden="1" x14ac:dyDescent="0.15"/>
    <row r="930" ht="13" hidden="1" x14ac:dyDescent="0.15"/>
    <row r="931" ht="13" hidden="1" x14ac:dyDescent="0.15"/>
    <row r="932" ht="13" hidden="1" x14ac:dyDescent="0.15"/>
    <row r="933" ht="13" hidden="1" x14ac:dyDescent="0.15"/>
    <row r="934" ht="13" hidden="1" x14ac:dyDescent="0.15"/>
    <row r="935" ht="13" hidden="1" x14ac:dyDescent="0.15"/>
    <row r="936" ht="13" hidden="1" x14ac:dyDescent="0.15"/>
    <row r="937" ht="13" hidden="1" x14ac:dyDescent="0.15"/>
    <row r="938" ht="13" hidden="1" x14ac:dyDescent="0.15"/>
    <row r="939" ht="13" hidden="1" x14ac:dyDescent="0.15"/>
    <row r="940" ht="13" hidden="1" x14ac:dyDescent="0.15"/>
    <row r="941" ht="13" hidden="1" x14ac:dyDescent="0.15"/>
    <row r="942" ht="13" hidden="1" x14ac:dyDescent="0.15"/>
    <row r="943" ht="13" hidden="1" x14ac:dyDescent="0.15"/>
    <row r="944" ht="13" hidden="1" x14ac:dyDescent="0.15"/>
    <row r="945" ht="13" hidden="1" x14ac:dyDescent="0.15"/>
    <row r="946" ht="13" hidden="1" x14ac:dyDescent="0.15"/>
    <row r="947" ht="13" hidden="1" x14ac:dyDescent="0.15"/>
    <row r="948" ht="13" hidden="1" x14ac:dyDescent="0.15"/>
    <row r="949" ht="13" hidden="1" x14ac:dyDescent="0.15"/>
    <row r="950" ht="13" hidden="1" x14ac:dyDescent="0.15"/>
    <row r="951" ht="13" hidden="1" x14ac:dyDescent="0.15"/>
    <row r="952" ht="13" hidden="1" x14ac:dyDescent="0.15"/>
    <row r="953" ht="13" hidden="1" x14ac:dyDescent="0.15"/>
    <row r="954" ht="13" hidden="1" x14ac:dyDescent="0.15"/>
    <row r="955" ht="13" hidden="1" x14ac:dyDescent="0.15"/>
    <row r="956" ht="13" hidden="1" x14ac:dyDescent="0.15"/>
    <row r="957" ht="13" hidden="1" x14ac:dyDescent="0.15"/>
    <row r="958" ht="13" hidden="1" x14ac:dyDescent="0.15"/>
    <row r="959" ht="13" hidden="1" x14ac:dyDescent="0.15"/>
    <row r="960" ht="13" hidden="1" x14ac:dyDescent="0.15"/>
    <row r="961" ht="13" hidden="1" x14ac:dyDescent="0.15"/>
    <row r="962" ht="13" hidden="1" x14ac:dyDescent="0.15"/>
    <row r="963" ht="13" hidden="1" x14ac:dyDescent="0.15"/>
    <row r="964" ht="13" hidden="1" x14ac:dyDescent="0.15"/>
    <row r="965" ht="13" hidden="1" x14ac:dyDescent="0.15"/>
    <row r="966" ht="13" hidden="1" x14ac:dyDescent="0.15"/>
    <row r="967" ht="13" hidden="1" x14ac:dyDescent="0.15"/>
    <row r="968" ht="13" hidden="1" x14ac:dyDescent="0.15"/>
    <row r="969" ht="13" hidden="1" x14ac:dyDescent="0.15"/>
    <row r="970" ht="13" hidden="1" x14ac:dyDescent="0.15"/>
    <row r="971" ht="13" hidden="1" x14ac:dyDescent="0.15"/>
  </sheetData>
  <mergeCells count="15">
    <mergeCell ref="C8:E8"/>
    <mergeCell ref="A19:E20"/>
    <mergeCell ref="A1:E2"/>
    <mergeCell ref="C16:E16"/>
    <mergeCell ref="C10:E10"/>
    <mergeCell ref="C11:E11"/>
    <mergeCell ref="C13:E13"/>
    <mergeCell ref="A6:E7"/>
    <mergeCell ref="C9:E9"/>
    <mergeCell ref="B22:C22"/>
    <mergeCell ref="C14:E14"/>
    <mergeCell ref="C12:E12"/>
    <mergeCell ref="C15:E15"/>
    <mergeCell ref="B21:C21"/>
    <mergeCell ref="C17:E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EEE6-D946-DA42-90C4-85D455A5A6AA}">
  <dimension ref="A1:A31"/>
  <sheetViews>
    <sheetView zoomScale="144" zoomScaleNormal="100" workbookViewId="0">
      <selection activeCell="A31" sqref="A31"/>
    </sheetView>
  </sheetViews>
  <sheetFormatPr baseColWidth="10" defaultRowHeight="13" x14ac:dyDescent="0.15"/>
  <cols>
    <col min="1" max="1" width="119" customWidth="1"/>
  </cols>
  <sheetData>
    <row r="1" spans="1:1" ht="25" customHeight="1" x14ac:dyDescent="0.15">
      <c r="A1" s="141" t="s">
        <v>134</v>
      </c>
    </row>
    <row r="2" spans="1:1" ht="42" x14ac:dyDescent="0.15">
      <c r="A2" s="142" t="s">
        <v>139</v>
      </c>
    </row>
    <row r="3" spans="1:1" ht="42" x14ac:dyDescent="0.15">
      <c r="A3" s="142" t="s">
        <v>157</v>
      </c>
    </row>
    <row r="4" spans="1:1" ht="18" x14ac:dyDescent="0.15">
      <c r="A4" s="141" t="s">
        <v>135</v>
      </c>
    </row>
    <row r="5" spans="1:1" ht="28" x14ac:dyDescent="0.15">
      <c r="A5" s="144" t="s">
        <v>136</v>
      </c>
    </row>
    <row r="6" spans="1:1" ht="18" x14ac:dyDescent="0.15">
      <c r="A6" s="141" t="s">
        <v>137</v>
      </c>
    </row>
    <row r="7" spans="1:1" ht="28" x14ac:dyDescent="0.15">
      <c r="A7" s="142" t="s">
        <v>138</v>
      </c>
    </row>
    <row r="8" spans="1:1" ht="18" x14ac:dyDescent="0.15">
      <c r="A8" s="141" t="s">
        <v>140</v>
      </c>
    </row>
    <row r="9" spans="1:1" ht="14" x14ac:dyDescent="0.15">
      <c r="A9" s="145" t="s">
        <v>141</v>
      </c>
    </row>
    <row r="10" spans="1:1" ht="14" x14ac:dyDescent="0.15">
      <c r="A10" s="145" t="s">
        <v>142</v>
      </c>
    </row>
    <row r="11" spans="1:1" ht="14" x14ac:dyDescent="0.15">
      <c r="A11" s="145" t="s">
        <v>143</v>
      </c>
    </row>
    <row r="12" spans="1:1" ht="14" x14ac:dyDescent="0.15">
      <c r="A12" s="145" t="s">
        <v>144</v>
      </c>
    </row>
    <row r="13" spans="1:1" x14ac:dyDescent="0.15">
      <c r="A13" s="143" t="s">
        <v>159</v>
      </c>
    </row>
    <row r="14" spans="1:1" x14ac:dyDescent="0.15">
      <c r="A14" s="143" t="s">
        <v>158</v>
      </c>
    </row>
    <row r="15" spans="1:1" ht="18" x14ac:dyDescent="0.15">
      <c r="A15" s="141" t="s">
        <v>145</v>
      </c>
    </row>
    <row r="16" spans="1:1" ht="28" x14ac:dyDescent="0.15">
      <c r="A16" s="144" t="s">
        <v>146</v>
      </c>
    </row>
    <row r="17" spans="1:1" x14ac:dyDescent="0.15">
      <c r="A17" s="143" t="s">
        <v>147</v>
      </c>
    </row>
    <row r="18" spans="1:1" x14ac:dyDescent="0.15">
      <c r="A18" s="140" t="s">
        <v>148</v>
      </c>
    </row>
    <row r="19" spans="1:1" ht="18" x14ac:dyDescent="0.15">
      <c r="A19" s="141" t="s">
        <v>149</v>
      </c>
    </row>
    <row r="20" spans="1:1" x14ac:dyDescent="0.15">
      <c r="A20" s="140" t="s">
        <v>150</v>
      </c>
    </row>
    <row r="21" spans="1:1" ht="28" x14ac:dyDescent="0.15">
      <c r="A21" s="142" t="s">
        <v>160</v>
      </c>
    </row>
    <row r="22" spans="1:1" ht="18" x14ac:dyDescent="0.15">
      <c r="A22" s="141" t="s">
        <v>151</v>
      </c>
    </row>
    <row r="23" spans="1:1" x14ac:dyDescent="0.15">
      <c r="A23" s="140" t="s">
        <v>152</v>
      </c>
    </row>
    <row r="24" spans="1:1" x14ac:dyDescent="0.15">
      <c r="A24" s="140" t="s">
        <v>153</v>
      </c>
    </row>
    <row r="25" spans="1:1" x14ac:dyDescent="0.15">
      <c r="A25" s="140" t="s">
        <v>154</v>
      </c>
    </row>
    <row r="26" spans="1:1" x14ac:dyDescent="0.15">
      <c r="A26" s="140" t="s">
        <v>155</v>
      </c>
    </row>
    <row r="27" spans="1:1" x14ac:dyDescent="0.15">
      <c r="A27" s="140" t="s">
        <v>156</v>
      </c>
    </row>
    <row r="28" spans="1:1" ht="18" x14ac:dyDescent="0.15">
      <c r="A28" s="141" t="s">
        <v>161</v>
      </c>
    </row>
    <row r="29" spans="1:1" ht="28" x14ac:dyDescent="0.15">
      <c r="A29" s="144" t="s">
        <v>162</v>
      </c>
    </row>
    <row r="30" spans="1:1" x14ac:dyDescent="0.15">
      <c r="A30" s="143" t="s">
        <v>163</v>
      </c>
    </row>
    <row r="31" spans="1:1" ht="28" x14ac:dyDescent="0.15">
      <c r="A31" s="14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Assumptions</vt:lpstr>
      <vt:lpstr>Traction model (Scenario 1)</vt:lpstr>
      <vt:lpstr>Данные для ДЗ №1</vt:lpstr>
      <vt:lpstr>Пояснения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Гурген Аветисян</cp:lastModifiedBy>
  <dcterms:created xsi:type="dcterms:W3CDTF">2026-02-19T18:55:23Z</dcterms:created>
  <dcterms:modified xsi:type="dcterms:W3CDTF">2026-02-20T20:31:53Z</dcterms:modified>
</cp:coreProperties>
</file>
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Traction model (Scenario 1)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tc={53af07d7-38d0-4996-ac8e-3b4113b9a541}</author>
    <author>tc={636ebf66-277c-490a-a4db-e27071515e4e}</author>
    <author>tc={91b79960-0366-439f-bee0-ebb4fae558ff}</author>
    <author>tc={b4660d22-1320-45fe-b76c-36618a14f70b}</author>
  </authors>
  <commentList>
    <comment authorId="0" xr:uid="{53af07d7-38d0-4996-ac8e-3b4113b9a541}" ref="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Экспертная оценка на основе логики классифайдов: поиск является основным способом взаимодействия пользователей с объявлениями. Значение выбрано консервативным для baseline и требует дальнейшей валидации продуктовой аналитикой.
</t>
      </text>
    </comment>
    <comment authorId="1" xr:uid="{636ebf66-277c-490a-a4db-e27071515e4e}" ref="I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Допущение основано на зрелости рынка интернет-сервисов в РФ и высокой текущей доле проникновения интернета (90%+), что ограничивает быстрый рост аудитории.
</t>
      </text>
    </comment>
    <comment authorId="2" xr:uid="{91b79960-0366-439f-bee0-ebb4fae558f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Для baseline выбран bottom-up подход, так как продукт существует, а доступные исходные данные относятся к внутренним метрикам (MAU Avito). Прогноз строится от аудитории продукта к доле пользователей, использующих поиск. В качестве верхней границы реалистичности используется интернет-аудитория РФ.
</t>
      </text>
    </comment>
    <comment authorId="3" xr:uid="{b4660d22-1320-45fe-b76c-36618a14f70b}" ref="I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Публичные данные Avito и отраслевые публикации указывают на ежемесячную аудиторию платформы более 70 млн пользователей. Используется округлённое значение 72 млн для baseline.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tc={c84af3e9-6f8c-4175-be89-67b2723049be}</author>
  </authors>
  <commentList>
    <comment authorId="0" xr:uid="{c84af3e9-6f8c-4175-be89-67b2723049be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Блок Market assumptions исключён, так как baseline построен bottom-up от текущих продуктовых метрик Avito. Ограничением сверху выступает интернет-аудитория РФ.
Reply:
	Baseline построен по bottom-up логике от текущей аудитории платформы. В качестве основной драйвер-метрики используется MAU Avito (~72 млн пользователей), что соответствует публичным оценкам аудитории сервиса. Годовой рост MAU заложен на уровне 2%, так как рынок классифайдов в РФ близок к насыщению и не демонстрирует взрывной динамики.
Доля пользователей, использующих поиск (Search share), принята равной 80% как базовый пользовательский сценарий взаимодействия с платформой. Значения MAU Search не превышают интернет-аудиторию РФ (133 млн пользователей), что подтверждает реалистичность модели.
Прогноз показывает плавный рост без резких скачков, что соответствует baseline-сценарию без внедрения продуктовых изменений.
</t>
      </text>
    </comment>
  </commentList>
</comments>
</file>

<file path=xl/sharedStrings.xml><?xml version="1.0" encoding="utf-8"?>
<sst xmlns="http://schemas.openxmlformats.org/spreadsheetml/2006/main" count="92" uniqueCount="40">
  <si>
    <t>Параметр</t>
  </si>
  <si>
    <t>Метрика</t>
  </si>
  <si>
    <t>Значение 2025</t>
  </si>
  <si>
    <t>Источник / обоснование</t>
  </si>
  <si>
    <t>MAU Avito</t>
  </si>
  <si>
    <t>MAU</t>
  </si>
  <si>
    <t>Публичные данные Avito и отраслевые публикации о ежемесячной аудитории (70–72 млн пользователей).</t>
  </si>
  <si>
    <t>Годовой рост MAU</t>
  </si>
  <si>
    <t>Growth</t>
  </si>
  <si>
    <t>Рынок близок к насыщению</t>
  </si>
  <si>
    <t>Search share</t>
  </si>
  <si>
    <t>Share</t>
  </si>
  <si>
    <t>Основной пользовательский сценарий</t>
  </si>
  <si>
    <t>Интернет-аудитория РФ</t>
  </si>
  <si>
    <t>Control</t>
  </si>
  <si>
    <t>Используется как верхняя граница проверки реалистичности модели.</t>
  </si>
  <si>
    <t>Годовой рост интернет-аудитории РФ</t>
  </si>
  <si>
    <t>Высокое проникновение интернета, умеренный органический рост</t>
  </si>
  <si>
    <t>fact</t>
  </si>
  <si>
    <t>plan</t>
  </si>
  <si>
    <t>5Y</t>
  </si>
  <si>
    <t>Parameter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</si>
  <si>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</si>
  <si>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</si>
  <si>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</si>
  <si>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</si>
  <si>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</si>
  <si>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</si>
  <si>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</si>
  <si>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</si>
  <si>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</si>
  <si>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</si>
  <si>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</si>
  <si>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</si>
  <si>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</si>
  <si>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BASELINE</t>
  </si>
  <si>
    <t>Тут могут быть другие гипотезы о метриках  baseline сценария, применимые к вашему продукту. 
Этот блок содежит в себе те параметры, которые влияют на показатели вашей модели. 
Вам нужно:
1) спрогнозировать базовые input метрики 
2) спрогнозировать базовые output метрики
3) оценить бизнес-показатели для базового сценария
Базовый сценарий — сценарий в октором вы не производите никаких изменений с продуктом, он может быть нулевым для новго продукта. 
Чаще всего базовый сценарий — это продуктовая воронка. Но не обязательно так.</t>
  </si>
  <si>
    <t>users</t>
  </si>
  <si>
    <t>%</t>
  </si>
  <si>
    <t>MAU 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</si>
</sst>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0.0"/>
      <color rgb="FF000000"/>
      <name val="Arial"/>
      <scheme val="minor"/>
    </font>
    <font>
      <b/>
      <sz val="9.0"/>
      <color rgb="FFF3F3F3"/>
      <name val="Arial"/>
      <scheme val="minor"/>
    </font>
    <font>
      <sz val="9.0"/>
      <color rgb="FFF3F3F3"/>
      <name val="Arial"/>
      <scheme val="minor"/>
    </font>
    <font>
      <color theme="1"/>
      <name val="Arial"/>
      <scheme val="minor"/>
    </font>
    <font>
      <u/>
      <color rgb="FF0000FF"/>
    </font>
    <font>
      <sz val="12.0"/>
      <color rgb="FF000000"/>
      <name val="Calibri"/>
    </font>
    <font>
      <sz val="12.0"/>
      <color rgb="FF000000"/>
      <name val="Arial"/>
    </font>
    <font>
      <b/>
      <sz val="12.0"/>
      <color rgb="FF000000"/>
      <name val="Calibri"/>
    </font>
    <font/>
    <font>
      <b/>
      <sz val="12.0"/>
      <color rgb="FF434343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548235"/>
        <bgColor rgb="FF548235"/>
      </patternFill>
    </fill>
    <fill>
      <patternFill patternType="solid">
        <fgColor rgb="FFE2EFDA"/>
        <bgColor rgb="FFE2EFDA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2" fontId="2" numFmtId="0" xfId="0" applyAlignment="1" applyFont="1">
      <alignment shrinkToFit="0" vertical="bottom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 shrinkToFit="0" wrapText="1"/>
    </xf>
    <xf borderId="1" fillId="0" fontId="3" numFmtId="9" xfId="0" applyAlignment="1" applyBorder="1" applyFont="1" applyNumberFormat="1">
      <alignment readingOrder="0"/>
    </xf>
    <xf borderId="0" fillId="0" fontId="3" numFmtId="0" xfId="0" applyAlignment="1" applyFont="1">
      <alignment shrinkToFit="0" wrapText="1"/>
    </xf>
    <xf borderId="0" fillId="3" fontId="5" numFmtId="0" xfId="0" applyAlignment="1" applyFill="1" applyFont="1">
      <alignment readingOrder="0" shrinkToFit="0" vertical="bottom" wrapText="1"/>
    </xf>
    <xf borderId="0" fillId="4" fontId="5" numFmtId="0" xfId="0" applyAlignment="1" applyFill="1" applyFont="1">
      <alignment shrinkToFit="0" vertical="bottom" wrapText="0"/>
    </xf>
    <xf borderId="0" fillId="4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5" fontId="6" numFmtId="0" xfId="0" applyAlignment="1" applyFill="1" applyFont="1">
      <alignment shrinkToFit="0" vertical="bottom" wrapText="0"/>
    </xf>
    <xf borderId="2" fillId="5" fontId="6" numFmtId="0" xfId="0" applyAlignment="1" applyBorder="1" applyFont="1">
      <alignment horizontal="center" readingOrder="0" shrinkToFit="0" vertical="bottom" wrapText="0"/>
    </xf>
    <xf borderId="0" fillId="5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5" fontId="6" numFmtId="0" xfId="0" applyAlignment="1" applyFont="1">
      <alignment readingOrder="0" shrinkToFit="0" vertical="bottom" wrapText="0"/>
    </xf>
    <xf borderId="0" fillId="5" fontId="5" numFmtId="0" xfId="0" applyAlignment="1" applyFont="1">
      <alignment readingOrder="0" shrinkToFit="0" vertical="bottom" wrapText="0"/>
    </xf>
    <xf borderId="3" fillId="5" fontId="6" numFmtId="0" xfId="0" applyAlignment="1" applyBorder="1" applyFont="1">
      <alignment horizontal="center" readingOrder="0" shrinkToFit="0" vertical="bottom" wrapText="0"/>
    </xf>
    <xf borderId="0" fillId="5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6" fontId="7" numFmtId="0" xfId="0" applyAlignment="1" applyFill="1" applyFont="1">
      <alignment readingOrder="0" shrinkToFit="0" vertical="bottom" wrapText="0"/>
    </xf>
    <xf borderId="0" fillId="6" fontId="5" numFmtId="0" xfId="0" applyAlignment="1" applyFont="1">
      <alignment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0" fontId="8" numFmtId="0" xfId="0" applyBorder="1" applyFont="1"/>
    <xf borderId="2" fillId="3" fontId="5" numFmtId="0" xfId="0" applyAlignment="1" applyBorder="1" applyFont="1">
      <alignment horizontal="left" readingOrder="0" shrinkToFit="0" vertical="top" wrapText="1"/>
    </xf>
    <xf borderId="2" fillId="0" fontId="7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/>
    </xf>
    <xf borderId="5" fillId="0" fontId="7" numFmtId="0" xfId="0" applyAlignment="1" applyBorder="1" applyFont="1">
      <alignment horizontal="right" readingOrder="0" shrinkToFit="0" vertical="bottom" wrapText="0"/>
    </xf>
    <xf borderId="6" fillId="0" fontId="7" numFmtId="0" xfId="0" applyAlignment="1" applyBorder="1" applyFont="1">
      <alignment horizontal="right" readingOrder="0" shrinkToFit="0" vertical="bottom" wrapText="0"/>
    </xf>
    <xf borderId="7" fillId="0" fontId="9" numFmtId="0" xfId="0" applyAlignment="1" applyBorder="1" applyFont="1">
      <alignment horizontal="right" readingOrder="0" shrinkToFit="0" vertical="bottom" wrapText="0"/>
    </xf>
    <xf borderId="0" fillId="0" fontId="7" numFmtId="0" xfId="0" applyAlignment="1" applyFont="1">
      <alignment shrinkToFit="0" vertical="bottom" wrapText="0"/>
    </xf>
    <xf borderId="2" fillId="0" fontId="8" numFmtId="0" xfId="0" applyBorder="1" applyFont="1"/>
    <xf borderId="2" fillId="0" fontId="7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8" fillId="0" fontId="5" numFmtId="0" xfId="0" applyAlignment="1" applyBorder="1" applyFont="1">
      <alignment shrinkToFit="0" vertical="bottom" wrapText="0"/>
    </xf>
    <xf borderId="2" fillId="0" fontId="7" numFmtId="0" xfId="0" applyAlignment="1" applyBorder="1" applyFont="1">
      <alignment horizontal="left" readingOrder="0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2" fillId="0" fontId="7" numFmtId="164" xfId="0" applyAlignment="1" applyBorder="1" applyFont="1" applyNumberFormat="1">
      <alignment horizontal="right" readingOrder="0" shrinkToFit="0" vertical="bottom" wrapText="0"/>
    </xf>
    <xf borderId="8" fillId="0" fontId="7" numFmtId="164" xfId="0" applyAlignment="1" applyBorder="1" applyFont="1" applyNumberFormat="1">
      <alignment horizontal="right" readingOrder="0" shrinkToFit="0" vertical="bottom" wrapText="0"/>
    </xf>
    <xf borderId="2" fillId="0" fontId="7" numFmtId="3" xfId="0" applyAlignment="1" applyBorder="1" applyFont="1" applyNumberFormat="1">
      <alignment horizontal="right" readingOrder="0" shrinkToFit="0" vertical="bottom" wrapText="0"/>
    </xf>
    <xf borderId="8" fillId="0" fontId="7" numFmtId="3" xfId="0" applyAlignment="1" applyBorder="1" applyFont="1" applyNumberFormat="1">
      <alignment horizontal="right" readingOrder="0" shrinkToFit="0" vertical="bottom" wrapText="0"/>
    </xf>
    <xf borderId="0" fillId="0" fontId="7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Дилара Фаритова" id="{0043a173-2f16-42c2-8b99-f43e1805df4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20T18:47:28.00" personId="{0043a173-2f16-42c2-8b99-f43e1805df4a}" id="{91b79960-0366-439f-bee0-ebb4fae558ff}" done="0">
    <x18tc:text xml:space="preserve">Для baseline выбран bottom-up подход, так как продукт существует, а доступные исходные данные относятся к внутренним метрикам (MAU Avito). Прогноз строится от аудитории продукта к доле пользователей, использующих поиск. В качестве верхней границы реалистичности используется интернет-аудитория РФ.</x18tc:text>
  </x18tc:threadedComment>
  <x18tc:threadedComment ref="I4" dT="2026-02-20T18:26:08.00" personId="{0043a173-2f16-42c2-8b99-f43e1805df4a}" id="{53af07d7-38d0-4996-ac8e-3b4113b9a541}" done="0">
    <x18tc:text xml:space="preserve">Экспертная оценка на основе логики классифайдов: поиск является основным способом взаимодействия пользователей с объявлениями. Значение выбрано консервативным для baseline и требует дальнейшей валидации продуктовой аналитикой.</x18tc:text>
  </x18tc:threadedComment>
  <x18tc:threadedComment ref="I3" dT="2026-02-20T18:25:42.00" personId="{0043a173-2f16-42c2-8b99-f43e1805df4a}" id="{636ebf66-277c-490a-a4db-e27071515e4e}" done="0">
    <x18tc:text xml:space="preserve">Допущение основано на зрелости рынка интернет-сервисов в РФ и высокой текущей доле проникновения интернета (90%+), что ограничивает быстрый рост аудитории.</x18tc:text>
  </x18tc:threadedComment>
  <x18tc:threadedComment ref="I2" dT="2026-02-20T18:24:56.00" personId="{0043a173-2f16-42c2-8b99-f43e1805df4a}" id="{b4660d22-1320-45fe-b76c-36618a14f70b}" done="0">
    <x18tc:text xml:space="preserve">Публичные данные Avito и отраслевые публикации указывают на ежемесячную аудиторию платформы более 70 млн пользователей. Используется округлённое значение 72 млн для baseline.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7" dT="2026-02-20T18:49:50.00" personId="{0043a173-2f16-42c2-8b99-f43e1805df4a}" id="{c84af3e9-6f8c-4175-be89-67b2723049be}" done="0">
    <x18tc:text xml:space="preserve">Блок Market assumptions исключён, так как baseline построен bottom-up от текущих продуктовых метрик Avito. Ограничением сверху выступает интернет-аудитория РФ.</x18tc:text>
  </x18tc:threadedComment>
  <x18tc:threadedComment ref="B7" dT="2026-02-20T19:11:54.00" personId="{0043a173-2f16-42c2-8b99-f43e1805df4a}" id="{e5256e71-0fed-47ff-aac0-0914d5e911b4}" parentId="{c84af3e9-6f8c-4175-be89-67b2723049be}">
    <x18tc:text xml:space="preserve">Baseline построен по bottom-up логике от текущей аудитории платформы. В качестве основной драйвер-метрики используется MAU Avito (~72 млн пользователей), что соответствует публичным оценкам аудитории сервиса. Годовой рост MAU заложен на уровне 2%, так как рынок классифайдов в РФ близок к насыщению и не демонстрирует взрывной динамики.
Доля пользователей, использующих поиск (Search share), принята равной 80% как базовый пользовательский сценарий взаимодействия с платформой. Значения MAU Search не превышают интернет-аудиторию РФ (133 млн пользователей), что подтверждает реалистичность модели.
Прогноз показывает плавный рост без резких скачков, что соответствует baseline-сценарию без внедрения продуктовых изменений.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sostav.ru/publication/kolichestvo-aktivnykh-obyavlenij-na-avito-prevysilo-150-mln-60649.html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3" max="3" width="16.5"/>
    <col customWidth="1" min="6" max="6" width="12.88"/>
    <col customWidth="1" min="9" max="9" width="26.75"/>
  </cols>
  <sheetData>
    <row r="1">
      <c r="A1" s="1" t="s">
        <v>0</v>
      </c>
      <c r="B1" s="2" t="s">
        <v>1</v>
      </c>
      <c r="C1" s="2" t="s">
        <v>2</v>
      </c>
      <c r="D1" s="2">
        <v>2026.0</v>
      </c>
      <c r="E1" s="2">
        <v>2027.0</v>
      </c>
      <c r="F1" s="2">
        <v>2028.0</v>
      </c>
      <c r="G1" s="2">
        <v>2029.0</v>
      </c>
      <c r="H1" s="2">
        <v>2030.0</v>
      </c>
      <c r="I1" s="3" t="s">
        <v>3</v>
      </c>
    </row>
    <row r="2">
      <c r="A2" s="4" t="s">
        <v>4</v>
      </c>
      <c r="B2" s="5" t="s">
        <v>5</v>
      </c>
      <c r="C2" s="5">
        <v>7.2E7</v>
      </c>
      <c r="D2" s="6">
        <f t="shared" ref="D2:H2" si="1">C2*1.02</f>
        <v>73440000</v>
      </c>
      <c r="E2" s="6">
        <f t="shared" si="1"/>
        <v>74908800</v>
      </c>
      <c r="F2" s="6">
        <f t="shared" si="1"/>
        <v>76406976</v>
      </c>
      <c r="G2" s="6">
        <f t="shared" si="1"/>
        <v>77935115.52</v>
      </c>
      <c r="H2" s="6">
        <f t="shared" si="1"/>
        <v>79493817.83</v>
      </c>
      <c r="I2" s="7" t="s">
        <v>6</v>
      </c>
    </row>
    <row r="3">
      <c r="A3" s="4" t="s">
        <v>7</v>
      </c>
      <c r="B3" s="5" t="s">
        <v>8</v>
      </c>
      <c r="C3" s="8">
        <v>0.02</v>
      </c>
      <c r="D3" s="8">
        <v>0.02</v>
      </c>
      <c r="E3" s="8">
        <v>0.02</v>
      </c>
      <c r="F3" s="8">
        <v>0.02</v>
      </c>
      <c r="G3" s="8">
        <v>0.02</v>
      </c>
      <c r="H3" s="8">
        <v>0.02</v>
      </c>
      <c r="I3" s="4" t="s">
        <v>9</v>
      </c>
    </row>
    <row r="4">
      <c r="A4" s="4" t="s">
        <v>10</v>
      </c>
      <c r="B4" s="5" t="s">
        <v>11</v>
      </c>
      <c r="C4" s="8">
        <v>0.8</v>
      </c>
      <c r="D4" s="8">
        <v>0.8</v>
      </c>
      <c r="E4" s="8">
        <v>0.8</v>
      </c>
      <c r="F4" s="8">
        <v>0.8</v>
      </c>
      <c r="G4" s="8">
        <v>0.8</v>
      </c>
      <c r="H4" s="8">
        <v>0.8</v>
      </c>
      <c r="I4" s="4" t="s">
        <v>12</v>
      </c>
    </row>
    <row r="5">
      <c r="A5" s="4" t="s">
        <v>13</v>
      </c>
      <c r="B5" s="5" t="s">
        <v>14</v>
      </c>
      <c r="C5" s="5">
        <v>1.33E8</v>
      </c>
      <c r="D5" s="5">
        <f t="shared" ref="D5:H5" si="2">C5*1.01</f>
        <v>134330000</v>
      </c>
      <c r="E5" s="5">
        <f t="shared" si="2"/>
        <v>135673300</v>
      </c>
      <c r="F5" s="5">
        <f t="shared" si="2"/>
        <v>137030033</v>
      </c>
      <c r="G5" s="5">
        <f t="shared" si="2"/>
        <v>138400333.3</v>
      </c>
      <c r="H5" s="5">
        <f t="shared" si="2"/>
        <v>139784336.7</v>
      </c>
      <c r="I5" s="4" t="s">
        <v>15</v>
      </c>
    </row>
    <row r="6">
      <c r="A6" s="4" t="s">
        <v>16</v>
      </c>
      <c r="B6" s="5" t="s">
        <v>8</v>
      </c>
      <c r="C6" s="8">
        <v>0.01</v>
      </c>
      <c r="D6" s="8">
        <v>0.01</v>
      </c>
      <c r="E6" s="8">
        <v>0.01</v>
      </c>
      <c r="F6" s="8">
        <v>0.01</v>
      </c>
      <c r="G6" s="8">
        <v>0.01</v>
      </c>
      <c r="H6" s="8">
        <v>0.01</v>
      </c>
      <c r="I6" s="4" t="s">
        <v>17</v>
      </c>
    </row>
    <row r="7">
      <c r="I7" s="9"/>
    </row>
    <row r="8">
      <c r="I8" s="9"/>
    </row>
    <row r="9">
      <c r="I9" s="9"/>
    </row>
    <row r="10">
      <c r="I10" s="9"/>
    </row>
    <row r="11">
      <c r="I11" s="9"/>
    </row>
    <row r="12">
      <c r="I12" s="9"/>
    </row>
    <row r="13">
      <c r="I13" s="9"/>
    </row>
    <row r="14">
      <c r="I14" s="9"/>
    </row>
    <row r="15">
      <c r="I15" s="9"/>
    </row>
    <row r="16">
      <c r="I16" s="9"/>
    </row>
    <row r="17">
      <c r="I17" s="9"/>
    </row>
    <row r="18">
      <c r="I18" s="9"/>
    </row>
    <row r="19">
      <c r="I19" s="9"/>
    </row>
    <row r="20">
      <c r="I20" s="9"/>
    </row>
    <row r="21">
      <c r="I21" s="9"/>
    </row>
    <row r="22">
      <c r="I22" s="9"/>
    </row>
    <row r="23">
      <c r="I23" s="9"/>
    </row>
    <row r="24">
      <c r="I24" s="9"/>
    </row>
    <row r="25">
      <c r="I25" s="9"/>
    </row>
    <row r="26">
      <c r="I26" s="9"/>
    </row>
    <row r="27">
      <c r="I27" s="9"/>
    </row>
    <row r="28">
      <c r="I28" s="9"/>
    </row>
    <row r="29">
      <c r="I29" s="9"/>
    </row>
    <row r="30">
      <c r="I30" s="9"/>
    </row>
    <row r="31">
      <c r="I31" s="9"/>
    </row>
    <row r="32">
      <c r="I32" s="9"/>
    </row>
    <row r="33">
      <c r="I33" s="9"/>
    </row>
    <row r="34">
      <c r="I34" s="9"/>
    </row>
    <row r="35">
      <c r="I35" s="9"/>
    </row>
    <row r="36">
      <c r="I36" s="9"/>
    </row>
    <row r="37">
      <c r="I37" s="9"/>
    </row>
    <row r="38">
      <c r="I38" s="9"/>
    </row>
    <row r="39">
      <c r="I39" s="9"/>
    </row>
    <row r="40">
      <c r="I40" s="9"/>
    </row>
    <row r="41">
      <c r="I41" s="9"/>
    </row>
    <row r="42">
      <c r="I42" s="9"/>
    </row>
    <row r="43">
      <c r="I43" s="9"/>
    </row>
    <row r="44">
      <c r="I44" s="9"/>
    </row>
    <row r="45">
      <c r="I45" s="9"/>
    </row>
    <row r="46">
      <c r="I46" s="9"/>
    </row>
    <row r="47">
      <c r="I47" s="9"/>
    </row>
    <row r="48">
      <c r="I48" s="9"/>
    </row>
    <row r="49">
      <c r="I49" s="9"/>
    </row>
    <row r="50">
      <c r="I50" s="9"/>
    </row>
    <row r="51">
      <c r="I51" s="9"/>
    </row>
    <row r="52">
      <c r="I52" s="9"/>
    </row>
    <row r="53">
      <c r="I53" s="9"/>
    </row>
    <row r="54">
      <c r="I54" s="9"/>
    </row>
    <row r="55">
      <c r="I55" s="9"/>
    </row>
    <row r="56">
      <c r="I56" s="9"/>
    </row>
    <row r="57">
      <c r="I57" s="9"/>
    </row>
    <row r="58">
      <c r="I58" s="9"/>
    </row>
    <row r="59">
      <c r="I59" s="9"/>
    </row>
    <row r="60">
      <c r="I60" s="9"/>
    </row>
    <row r="61">
      <c r="I61" s="9"/>
    </row>
    <row r="62">
      <c r="I62" s="9"/>
    </row>
    <row r="63">
      <c r="I63" s="9"/>
    </row>
    <row r="64">
      <c r="I64" s="9"/>
    </row>
    <row r="65">
      <c r="I65" s="9"/>
    </row>
    <row r="66">
      <c r="I66" s="9"/>
    </row>
    <row r="67">
      <c r="I67" s="9"/>
    </row>
    <row r="68">
      <c r="I68" s="9"/>
    </row>
    <row r="69">
      <c r="I69" s="9"/>
    </row>
    <row r="70">
      <c r="I70" s="9"/>
    </row>
    <row r="71">
      <c r="I71" s="9"/>
    </row>
    <row r="72">
      <c r="I72" s="9"/>
    </row>
    <row r="73">
      <c r="I73" s="9"/>
    </row>
    <row r="74">
      <c r="I74" s="9"/>
    </row>
    <row r="75">
      <c r="I75" s="9"/>
    </row>
    <row r="76">
      <c r="I76" s="9"/>
    </row>
    <row r="77">
      <c r="I77" s="9"/>
    </row>
    <row r="78">
      <c r="I78" s="9"/>
    </row>
    <row r="79">
      <c r="I79" s="9"/>
    </row>
    <row r="80">
      <c r="I80" s="9"/>
    </row>
    <row r="81">
      <c r="I81" s="9"/>
    </row>
    <row r="82">
      <c r="I82" s="9"/>
    </row>
    <row r="83">
      <c r="I83" s="9"/>
    </row>
    <row r="84">
      <c r="I84" s="9"/>
    </row>
    <row r="85">
      <c r="I85" s="9"/>
    </row>
    <row r="86">
      <c r="I86" s="9"/>
    </row>
    <row r="87">
      <c r="I87" s="9"/>
    </row>
    <row r="88">
      <c r="I88" s="9"/>
    </row>
    <row r="89">
      <c r="I89" s="9"/>
    </row>
    <row r="90">
      <c r="I90" s="9"/>
    </row>
    <row r="91">
      <c r="I91" s="9"/>
    </row>
    <row r="92">
      <c r="I92" s="9"/>
    </row>
    <row r="93">
      <c r="I93" s="9"/>
    </row>
    <row r="94">
      <c r="I94" s="9"/>
    </row>
    <row r="95">
      <c r="I95" s="9"/>
    </row>
    <row r="96">
      <c r="I96" s="9"/>
    </row>
    <row r="97">
      <c r="I97" s="9"/>
    </row>
    <row r="98">
      <c r="I98" s="9"/>
    </row>
    <row r="99">
      <c r="I99" s="9"/>
    </row>
    <row r="100">
      <c r="I100" s="9"/>
    </row>
    <row r="101">
      <c r="I101" s="9"/>
    </row>
    <row r="102">
      <c r="I102" s="9"/>
    </row>
    <row r="103">
      <c r="I103" s="9"/>
    </row>
    <row r="104">
      <c r="I104" s="9"/>
    </row>
    <row r="105">
      <c r="I105" s="9"/>
    </row>
    <row r="106">
      <c r="I106" s="9"/>
    </row>
    <row r="107">
      <c r="I107" s="9"/>
    </row>
    <row r="108">
      <c r="I108" s="9"/>
    </row>
    <row r="109">
      <c r="I109" s="9"/>
    </row>
    <row r="110">
      <c r="I110" s="9"/>
    </row>
    <row r="111">
      <c r="I111" s="9"/>
    </row>
    <row r="112">
      <c r="I112" s="9"/>
    </row>
    <row r="113">
      <c r="I113" s="9"/>
    </row>
    <row r="114">
      <c r="I114" s="9"/>
    </row>
    <row r="115">
      <c r="I115" s="9"/>
    </row>
    <row r="116">
      <c r="I116" s="9"/>
    </row>
    <row r="117">
      <c r="I117" s="9"/>
    </row>
    <row r="118">
      <c r="I118" s="9"/>
    </row>
    <row r="119">
      <c r="I119" s="9"/>
    </row>
    <row r="120">
      <c r="I120" s="9"/>
    </row>
    <row r="121">
      <c r="I121" s="9"/>
    </row>
    <row r="122">
      <c r="I122" s="9"/>
    </row>
    <row r="123">
      <c r="I123" s="9"/>
    </row>
    <row r="124">
      <c r="I124" s="9"/>
    </row>
    <row r="125">
      <c r="I125" s="9"/>
    </row>
    <row r="126">
      <c r="I126" s="9"/>
    </row>
    <row r="127">
      <c r="I127" s="9"/>
    </row>
    <row r="128">
      <c r="I128" s="9"/>
    </row>
    <row r="129">
      <c r="I129" s="9"/>
    </row>
    <row r="130">
      <c r="I130" s="9"/>
    </row>
    <row r="131">
      <c r="I131" s="9"/>
    </row>
    <row r="132">
      <c r="I132" s="9"/>
    </row>
    <row r="133">
      <c r="I133" s="9"/>
    </row>
    <row r="134">
      <c r="I134" s="9"/>
    </row>
    <row r="135">
      <c r="I135" s="9"/>
    </row>
    <row r="136">
      <c r="I136" s="9"/>
    </row>
    <row r="137">
      <c r="I137" s="9"/>
    </row>
    <row r="138">
      <c r="I138" s="9"/>
    </row>
    <row r="139">
      <c r="I139" s="9"/>
    </row>
    <row r="140">
      <c r="I140" s="9"/>
    </row>
    <row r="141">
      <c r="I141" s="9"/>
    </row>
    <row r="142">
      <c r="I142" s="9"/>
    </row>
    <row r="143">
      <c r="I143" s="9"/>
    </row>
    <row r="144">
      <c r="I144" s="9"/>
    </row>
    <row r="145">
      <c r="I145" s="9"/>
    </row>
    <row r="146">
      <c r="I146" s="9"/>
    </row>
    <row r="147">
      <c r="I147" s="9"/>
    </row>
    <row r="148">
      <c r="I148" s="9"/>
    </row>
    <row r="149">
      <c r="I149" s="9"/>
    </row>
    <row r="150">
      <c r="I150" s="9"/>
    </row>
    <row r="151">
      <c r="I151" s="9"/>
    </row>
    <row r="152">
      <c r="I152" s="9"/>
    </row>
    <row r="153">
      <c r="I153" s="9"/>
    </row>
    <row r="154">
      <c r="I154" s="9"/>
    </row>
    <row r="155">
      <c r="I155" s="9"/>
    </row>
    <row r="156">
      <c r="I156" s="9"/>
    </row>
    <row r="157">
      <c r="I157" s="9"/>
    </row>
    <row r="158">
      <c r="I158" s="9"/>
    </row>
    <row r="159">
      <c r="I159" s="9"/>
    </row>
    <row r="160">
      <c r="I160" s="9"/>
    </row>
    <row r="161">
      <c r="I161" s="9"/>
    </row>
    <row r="162">
      <c r="I162" s="9"/>
    </row>
    <row r="163">
      <c r="I163" s="9"/>
    </row>
    <row r="164">
      <c r="I164" s="9"/>
    </row>
    <row r="165">
      <c r="I165" s="9"/>
    </row>
    <row r="166">
      <c r="I166" s="9"/>
    </row>
    <row r="167">
      <c r="I167" s="9"/>
    </row>
    <row r="168">
      <c r="I168" s="9"/>
    </row>
    <row r="169">
      <c r="I169" s="9"/>
    </row>
    <row r="170">
      <c r="I170" s="9"/>
    </row>
    <row r="171">
      <c r="I171" s="9"/>
    </row>
    <row r="172">
      <c r="I172" s="9"/>
    </row>
    <row r="173">
      <c r="I173" s="9"/>
    </row>
    <row r="174">
      <c r="I174" s="9"/>
    </row>
    <row r="175">
      <c r="I175" s="9"/>
    </row>
    <row r="176">
      <c r="I176" s="9"/>
    </row>
    <row r="177">
      <c r="I177" s="9"/>
    </row>
    <row r="178">
      <c r="I178" s="9"/>
    </row>
    <row r="179">
      <c r="I179" s="9"/>
    </row>
    <row r="180">
      <c r="I180" s="9"/>
    </row>
    <row r="181">
      <c r="I181" s="9"/>
    </row>
    <row r="182">
      <c r="I182" s="9"/>
    </row>
    <row r="183">
      <c r="I183" s="9"/>
    </row>
    <row r="184">
      <c r="I184" s="9"/>
    </row>
    <row r="185">
      <c r="I185" s="9"/>
    </row>
    <row r="186">
      <c r="I186" s="9"/>
    </row>
    <row r="187">
      <c r="I187" s="9"/>
    </row>
    <row r="188">
      <c r="I188" s="9"/>
    </row>
    <row r="189">
      <c r="I189" s="9"/>
    </row>
    <row r="190">
      <c r="I190" s="9"/>
    </row>
    <row r="191">
      <c r="I191" s="9"/>
    </row>
    <row r="192">
      <c r="I192" s="9"/>
    </row>
    <row r="193">
      <c r="I193" s="9"/>
    </row>
    <row r="194">
      <c r="I194" s="9"/>
    </row>
    <row r="195">
      <c r="I195" s="9"/>
    </row>
    <row r="196">
      <c r="I196" s="9"/>
    </row>
    <row r="197">
      <c r="I197" s="9"/>
    </row>
    <row r="198">
      <c r="I198" s="9"/>
    </row>
    <row r="199">
      <c r="I199" s="9"/>
    </row>
    <row r="200">
      <c r="I200" s="9"/>
    </row>
    <row r="201">
      <c r="I201" s="9"/>
    </row>
    <row r="202">
      <c r="I202" s="9"/>
    </row>
    <row r="203">
      <c r="I203" s="9"/>
    </row>
    <row r="204">
      <c r="I204" s="9"/>
    </row>
    <row r="205">
      <c r="I205" s="9"/>
    </row>
    <row r="206">
      <c r="I206" s="9"/>
    </row>
    <row r="207">
      <c r="I207" s="9"/>
    </row>
    <row r="208">
      <c r="I208" s="9"/>
    </row>
    <row r="209">
      <c r="I209" s="9"/>
    </row>
    <row r="210">
      <c r="I210" s="9"/>
    </row>
    <row r="211">
      <c r="I211" s="9"/>
    </row>
    <row r="212">
      <c r="I212" s="9"/>
    </row>
    <row r="213">
      <c r="I213" s="9"/>
    </row>
    <row r="214">
      <c r="I214" s="9"/>
    </row>
    <row r="215">
      <c r="I215" s="9"/>
    </row>
    <row r="216">
      <c r="I216" s="9"/>
    </row>
    <row r="217">
      <c r="I217" s="9"/>
    </row>
    <row r="218">
      <c r="I218" s="9"/>
    </row>
    <row r="219">
      <c r="I219" s="9"/>
    </row>
    <row r="220">
      <c r="I220" s="9"/>
    </row>
    <row r="221">
      <c r="I221" s="9"/>
    </row>
    <row r="222">
      <c r="I222" s="9"/>
    </row>
    <row r="223">
      <c r="I223" s="9"/>
    </row>
    <row r="224">
      <c r="I224" s="9"/>
    </row>
    <row r="225">
      <c r="I225" s="9"/>
    </row>
    <row r="226">
      <c r="I226" s="9"/>
    </row>
    <row r="227">
      <c r="I227" s="9"/>
    </row>
    <row r="228">
      <c r="I228" s="9"/>
    </row>
    <row r="229">
      <c r="I229" s="9"/>
    </row>
    <row r="230">
      <c r="I230" s="9"/>
    </row>
    <row r="231">
      <c r="I231" s="9"/>
    </row>
    <row r="232">
      <c r="I232" s="9"/>
    </row>
    <row r="233">
      <c r="I233" s="9"/>
    </row>
    <row r="234">
      <c r="I234" s="9"/>
    </row>
    <row r="235">
      <c r="I235" s="9"/>
    </row>
    <row r="236">
      <c r="I236" s="9"/>
    </row>
    <row r="237">
      <c r="I237" s="9"/>
    </row>
    <row r="238">
      <c r="I238" s="9"/>
    </row>
    <row r="239">
      <c r="I239" s="9"/>
    </row>
    <row r="240">
      <c r="I240" s="9"/>
    </row>
    <row r="241">
      <c r="I241" s="9"/>
    </row>
    <row r="242">
      <c r="I242" s="9"/>
    </row>
    <row r="243">
      <c r="I243" s="9"/>
    </row>
    <row r="244">
      <c r="I244" s="9"/>
    </row>
    <row r="245">
      <c r="I245" s="9"/>
    </row>
    <row r="246">
      <c r="I246" s="9"/>
    </row>
    <row r="247">
      <c r="I247" s="9"/>
    </row>
    <row r="248">
      <c r="I248" s="9"/>
    </row>
    <row r="249">
      <c r="I249" s="9"/>
    </row>
    <row r="250">
      <c r="I250" s="9"/>
    </row>
    <row r="251">
      <c r="I251" s="9"/>
    </row>
    <row r="252">
      <c r="I252" s="9"/>
    </row>
    <row r="253">
      <c r="I253" s="9"/>
    </row>
    <row r="254">
      <c r="I254" s="9"/>
    </row>
    <row r="255">
      <c r="I255" s="9"/>
    </row>
    <row r="256">
      <c r="I256" s="9"/>
    </row>
    <row r="257">
      <c r="I257" s="9"/>
    </row>
    <row r="258">
      <c r="I258" s="9"/>
    </row>
    <row r="259">
      <c r="I259" s="9"/>
    </row>
    <row r="260">
      <c r="I260" s="9"/>
    </row>
    <row r="261">
      <c r="I261" s="9"/>
    </row>
    <row r="262">
      <c r="I262" s="9"/>
    </row>
    <row r="263">
      <c r="I263" s="9"/>
    </row>
    <row r="264">
      <c r="I264" s="9"/>
    </row>
    <row r="265">
      <c r="I265" s="9"/>
    </row>
    <row r="266">
      <c r="I266" s="9"/>
    </row>
    <row r="267">
      <c r="I267" s="9"/>
    </row>
    <row r="268">
      <c r="I268" s="9"/>
    </row>
    <row r="269">
      <c r="I269" s="9"/>
    </row>
    <row r="270">
      <c r="I270" s="9"/>
    </row>
    <row r="271">
      <c r="I271" s="9"/>
    </row>
    <row r="272">
      <c r="I272" s="9"/>
    </row>
    <row r="273">
      <c r="I273" s="9"/>
    </row>
    <row r="274">
      <c r="I274" s="9"/>
    </row>
    <row r="275">
      <c r="I275" s="9"/>
    </row>
    <row r="276">
      <c r="I276" s="9"/>
    </row>
    <row r="277">
      <c r="I277" s="9"/>
    </row>
    <row r="278">
      <c r="I278" s="9"/>
    </row>
    <row r="279">
      <c r="I279" s="9"/>
    </row>
    <row r="280">
      <c r="I280" s="9"/>
    </row>
    <row r="281">
      <c r="I281" s="9"/>
    </row>
    <row r="282">
      <c r="I282" s="9"/>
    </row>
    <row r="283">
      <c r="I283" s="9"/>
    </row>
    <row r="284">
      <c r="I284" s="9"/>
    </row>
    <row r="285">
      <c r="I285" s="9"/>
    </row>
    <row r="286">
      <c r="I286" s="9"/>
    </row>
    <row r="287">
      <c r="I287" s="9"/>
    </row>
    <row r="288">
      <c r="I288" s="9"/>
    </row>
    <row r="289">
      <c r="I289" s="9"/>
    </row>
    <row r="290">
      <c r="I290" s="9"/>
    </row>
    <row r="291">
      <c r="I291" s="9"/>
    </row>
    <row r="292">
      <c r="I292" s="9"/>
    </row>
    <row r="293">
      <c r="I293" s="9"/>
    </row>
    <row r="294">
      <c r="I294" s="9"/>
    </row>
    <row r="295">
      <c r="I295" s="9"/>
    </row>
    <row r="296">
      <c r="I296" s="9"/>
    </row>
    <row r="297">
      <c r="I297" s="9"/>
    </row>
    <row r="298">
      <c r="I298" s="9"/>
    </row>
    <row r="299">
      <c r="I299" s="9"/>
    </row>
    <row r="300">
      <c r="I300" s="9"/>
    </row>
    <row r="301">
      <c r="I301" s="9"/>
    </row>
    <row r="302">
      <c r="I302" s="9"/>
    </row>
    <row r="303">
      <c r="I303" s="9"/>
    </row>
    <row r="304">
      <c r="I304" s="9"/>
    </row>
    <row r="305">
      <c r="I305" s="9"/>
    </row>
    <row r="306">
      <c r="I306" s="9"/>
    </row>
    <row r="307">
      <c r="I307" s="9"/>
    </row>
    <row r="308">
      <c r="I308" s="9"/>
    </row>
    <row r="309">
      <c r="I309" s="9"/>
    </row>
    <row r="310">
      <c r="I310" s="9"/>
    </row>
    <row r="311">
      <c r="I311" s="9"/>
    </row>
    <row r="312">
      <c r="I312" s="9"/>
    </row>
    <row r="313">
      <c r="I313" s="9"/>
    </row>
    <row r="314">
      <c r="I314" s="9"/>
    </row>
    <row r="315">
      <c r="I315" s="9"/>
    </row>
    <row r="316">
      <c r="I316" s="9"/>
    </row>
    <row r="317">
      <c r="I317" s="9"/>
    </row>
    <row r="318">
      <c r="I318" s="9"/>
    </row>
    <row r="319">
      <c r="I319" s="9"/>
    </row>
    <row r="320">
      <c r="I320" s="9"/>
    </row>
    <row r="321">
      <c r="I321" s="9"/>
    </row>
    <row r="322">
      <c r="I322" s="9"/>
    </row>
    <row r="323">
      <c r="I323" s="9"/>
    </row>
    <row r="324">
      <c r="I324" s="9"/>
    </row>
    <row r="325">
      <c r="I325" s="9"/>
    </row>
    <row r="326">
      <c r="I326" s="9"/>
    </row>
    <row r="327">
      <c r="I327" s="9"/>
    </row>
    <row r="328">
      <c r="I328" s="9"/>
    </row>
    <row r="329">
      <c r="I329" s="9"/>
    </row>
    <row r="330">
      <c r="I330" s="9"/>
    </row>
    <row r="331">
      <c r="I331" s="9"/>
    </row>
    <row r="332">
      <c r="I332" s="9"/>
    </row>
    <row r="333">
      <c r="I333" s="9"/>
    </row>
    <row r="334">
      <c r="I334" s="9"/>
    </row>
    <row r="335">
      <c r="I335" s="9"/>
    </row>
    <row r="336">
      <c r="I336" s="9"/>
    </row>
    <row r="337">
      <c r="I337" s="9"/>
    </row>
    <row r="338">
      <c r="I338" s="9"/>
    </row>
    <row r="339">
      <c r="I339" s="9"/>
    </row>
    <row r="340">
      <c r="I340" s="9"/>
    </row>
    <row r="341">
      <c r="I341" s="9"/>
    </row>
    <row r="342">
      <c r="I342" s="9"/>
    </row>
    <row r="343">
      <c r="I343" s="9"/>
    </row>
    <row r="344">
      <c r="I344" s="9"/>
    </row>
    <row r="345">
      <c r="I345" s="9"/>
    </row>
    <row r="346">
      <c r="I346" s="9"/>
    </row>
    <row r="347">
      <c r="I347" s="9"/>
    </row>
    <row r="348">
      <c r="I348" s="9"/>
    </row>
    <row r="349">
      <c r="I349" s="9"/>
    </row>
    <row r="350">
      <c r="I350" s="9"/>
    </row>
    <row r="351">
      <c r="I351" s="9"/>
    </row>
    <row r="352">
      <c r="I352" s="9"/>
    </row>
    <row r="353">
      <c r="I353" s="9"/>
    </row>
    <row r="354">
      <c r="I354" s="9"/>
    </row>
    <row r="355">
      <c r="I355" s="9"/>
    </row>
    <row r="356">
      <c r="I356" s="9"/>
    </row>
    <row r="357">
      <c r="I357" s="9"/>
    </row>
    <row r="358">
      <c r="I358" s="9"/>
    </row>
    <row r="359">
      <c r="I359" s="9"/>
    </row>
    <row r="360">
      <c r="I360" s="9"/>
    </row>
    <row r="361">
      <c r="I361" s="9"/>
    </row>
    <row r="362">
      <c r="I362" s="9"/>
    </row>
    <row r="363">
      <c r="I363" s="9"/>
    </row>
    <row r="364">
      <c r="I364" s="9"/>
    </row>
    <row r="365">
      <c r="I365" s="9"/>
    </row>
    <row r="366">
      <c r="I366" s="9"/>
    </row>
    <row r="367">
      <c r="I367" s="9"/>
    </row>
    <row r="368">
      <c r="I368" s="9"/>
    </row>
    <row r="369">
      <c r="I369" s="9"/>
    </row>
    <row r="370">
      <c r="I370" s="9"/>
    </row>
    <row r="371">
      <c r="I371" s="9"/>
    </row>
    <row r="372">
      <c r="I372" s="9"/>
    </row>
    <row r="373">
      <c r="I373" s="9"/>
    </row>
    <row r="374">
      <c r="I374" s="9"/>
    </row>
    <row r="375">
      <c r="I375" s="9"/>
    </row>
    <row r="376">
      <c r="I376" s="9"/>
    </row>
    <row r="377">
      <c r="I377" s="9"/>
    </row>
    <row r="378">
      <c r="I378" s="9"/>
    </row>
    <row r="379">
      <c r="I379" s="9"/>
    </row>
    <row r="380">
      <c r="I380" s="9"/>
    </row>
    <row r="381">
      <c r="I381" s="9"/>
    </row>
    <row r="382">
      <c r="I382" s="9"/>
    </row>
    <row r="383">
      <c r="I383" s="9"/>
    </row>
    <row r="384">
      <c r="I384" s="9"/>
    </row>
    <row r="385">
      <c r="I385" s="9"/>
    </row>
    <row r="386">
      <c r="I386" s="9"/>
    </row>
    <row r="387">
      <c r="I387" s="9"/>
    </row>
    <row r="388">
      <c r="I388" s="9"/>
    </row>
    <row r="389">
      <c r="I389" s="9"/>
    </row>
    <row r="390">
      <c r="I390" s="9"/>
    </row>
    <row r="391">
      <c r="I391" s="9"/>
    </row>
    <row r="392">
      <c r="I392" s="9"/>
    </row>
    <row r="393">
      <c r="I393" s="9"/>
    </row>
    <row r="394">
      <c r="I394" s="9"/>
    </row>
    <row r="395">
      <c r="I395" s="9"/>
    </row>
    <row r="396">
      <c r="I396" s="9"/>
    </row>
    <row r="397">
      <c r="I397" s="9"/>
    </row>
    <row r="398">
      <c r="I398" s="9"/>
    </row>
    <row r="399">
      <c r="I399" s="9"/>
    </row>
    <row r="400">
      <c r="I400" s="9"/>
    </row>
    <row r="401">
      <c r="I401" s="9"/>
    </row>
    <row r="402">
      <c r="I402" s="9"/>
    </row>
    <row r="403">
      <c r="I403" s="9"/>
    </row>
    <row r="404">
      <c r="I404" s="9"/>
    </row>
    <row r="405">
      <c r="I405" s="9"/>
    </row>
    <row r="406">
      <c r="I406" s="9"/>
    </row>
    <row r="407">
      <c r="I407" s="9"/>
    </row>
    <row r="408">
      <c r="I408" s="9"/>
    </row>
    <row r="409">
      <c r="I409" s="9"/>
    </row>
    <row r="410">
      <c r="I410" s="9"/>
    </row>
    <row r="411">
      <c r="I411" s="9"/>
    </row>
    <row r="412">
      <c r="I412" s="9"/>
    </row>
    <row r="413">
      <c r="I413" s="9"/>
    </row>
    <row r="414">
      <c r="I414" s="9"/>
    </row>
    <row r="415">
      <c r="I415" s="9"/>
    </row>
    <row r="416">
      <c r="I416" s="9"/>
    </row>
    <row r="417">
      <c r="I417" s="9"/>
    </row>
    <row r="418">
      <c r="I418" s="9"/>
    </row>
    <row r="419">
      <c r="I419" s="9"/>
    </row>
    <row r="420">
      <c r="I420" s="9"/>
    </row>
    <row r="421">
      <c r="I421" s="9"/>
    </row>
    <row r="422">
      <c r="I422" s="9"/>
    </row>
    <row r="423">
      <c r="I423" s="9"/>
    </row>
    <row r="424">
      <c r="I424" s="9"/>
    </row>
    <row r="425">
      <c r="I425" s="9"/>
    </row>
    <row r="426">
      <c r="I426" s="9"/>
    </row>
    <row r="427">
      <c r="I427" s="9"/>
    </row>
    <row r="428">
      <c r="I428" s="9"/>
    </row>
    <row r="429">
      <c r="I429" s="9"/>
    </row>
    <row r="430">
      <c r="I430" s="9"/>
    </row>
    <row r="431">
      <c r="I431" s="9"/>
    </row>
    <row r="432">
      <c r="I432" s="9"/>
    </row>
    <row r="433">
      <c r="I433" s="9"/>
    </row>
    <row r="434">
      <c r="I434" s="9"/>
    </row>
    <row r="435">
      <c r="I435" s="9"/>
    </row>
    <row r="436">
      <c r="I436" s="9"/>
    </row>
    <row r="437">
      <c r="I437" s="9"/>
    </row>
    <row r="438">
      <c r="I438" s="9"/>
    </row>
    <row r="439">
      <c r="I439" s="9"/>
    </row>
    <row r="440">
      <c r="I440" s="9"/>
    </row>
    <row r="441">
      <c r="I441" s="9"/>
    </row>
    <row r="442">
      <c r="I442" s="9"/>
    </row>
    <row r="443">
      <c r="I443" s="9"/>
    </row>
    <row r="444">
      <c r="I444" s="9"/>
    </row>
    <row r="445">
      <c r="I445" s="9"/>
    </row>
    <row r="446">
      <c r="I446" s="9"/>
    </row>
    <row r="447">
      <c r="I447" s="9"/>
    </row>
    <row r="448">
      <c r="I448" s="9"/>
    </row>
    <row r="449">
      <c r="I449" s="9"/>
    </row>
    <row r="450">
      <c r="I450" s="9"/>
    </row>
    <row r="451">
      <c r="I451" s="9"/>
    </row>
    <row r="452">
      <c r="I452" s="9"/>
    </row>
    <row r="453">
      <c r="I453" s="9"/>
    </row>
    <row r="454">
      <c r="I454" s="9"/>
    </row>
    <row r="455">
      <c r="I455" s="9"/>
    </row>
    <row r="456">
      <c r="I456" s="9"/>
    </row>
    <row r="457">
      <c r="I457" s="9"/>
    </row>
    <row r="458">
      <c r="I458" s="9"/>
    </row>
    <row r="459">
      <c r="I459" s="9"/>
    </row>
    <row r="460">
      <c r="I460" s="9"/>
    </row>
    <row r="461">
      <c r="I461" s="9"/>
    </row>
    <row r="462">
      <c r="I462" s="9"/>
    </row>
    <row r="463">
      <c r="I463" s="9"/>
    </row>
    <row r="464">
      <c r="I464" s="9"/>
    </row>
    <row r="465">
      <c r="I465" s="9"/>
    </row>
    <row r="466">
      <c r="I466" s="9"/>
    </row>
    <row r="467">
      <c r="I467" s="9"/>
    </row>
    <row r="468">
      <c r="I468" s="9"/>
    </row>
    <row r="469">
      <c r="I469" s="9"/>
    </row>
    <row r="470">
      <c r="I470" s="9"/>
    </row>
    <row r="471">
      <c r="I471" s="9"/>
    </row>
    <row r="472">
      <c r="I472" s="9"/>
    </row>
    <row r="473">
      <c r="I473" s="9"/>
    </row>
    <row r="474">
      <c r="I474" s="9"/>
    </row>
    <row r="475">
      <c r="I475" s="9"/>
    </row>
    <row r="476">
      <c r="I476" s="9"/>
    </row>
    <row r="477">
      <c r="I477" s="9"/>
    </row>
    <row r="478">
      <c r="I478" s="9"/>
    </row>
    <row r="479">
      <c r="I479" s="9"/>
    </row>
    <row r="480">
      <c r="I480" s="9"/>
    </row>
    <row r="481">
      <c r="I481" s="9"/>
    </row>
    <row r="482">
      <c r="I482" s="9"/>
    </row>
    <row r="483">
      <c r="I483" s="9"/>
    </row>
    <row r="484">
      <c r="I484" s="9"/>
    </row>
    <row r="485">
      <c r="I485" s="9"/>
    </row>
    <row r="486">
      <c r="I486" s="9"/>
    </row>
    <row r="487">
      <c r="I487" s="9"/>
    </row>
    <row r="488">
      <c r="I488" s="9"/>
    </row>
    <row r="489">
      <c r="I489" s="9"/>
    </row>
    <row r="490">
      <c r="I490" s="9"/>
    </row>
    <row r="491">
      <c r="I491" s="9"/>
    </row>
    <row r="492">
      <c r="I492" s="9"/>
    </row>
    <row r="493">
      <c r="I493" s="9"/>
    </row>
    <row r="494">
      <c r="I494" s="9"/>
    </row>
    <row r="495">
      <c r="I495" s="9"/>
    </row>
    <row r="496">
      <c r="I496" s="9"/>
    </row>
    <row r="497">
      <c r="I497" s="9"/>
    </row>
    <row r="498">
      <c r="I498" s="9"/>
    </row>
    <row r="499">
      <c r="I499" s="9"/>
    </row>
    <row r="500">
      <c r="I500" s="9"/>
    </row>
    <row r="501">
      <c r="I501" s="9"/>
    </row>
    <row r="502">
      <c r="I502" s="9"/>
    </row>
    <row r="503">
      <c r="I503" s="9"/>
    </row>
    <row r="504">
      <c r="I504" s="9"/>
    </row>
    <row r="505">
      <c r="I505" s="9"/>
    </row>
    <row r="506">
      <c r="I506" s="9"/>
    </row>
    <row r="507">
      <c r="I507" s="9"/>
    </row>
    <row r="508">
      <c r="I508" s="9"/>
    </row>
    <row r="509">
      <c r="I509" s="9"/>
    </row>
    <row r="510">
      <c r="I510" s="9"/>
    </row>
    <row r="511">
      <c r="I511" s="9"/>
    </row>
    <row r="512">
      <c r="I512" s="9"/>
    </row>
    <row r="513">
      <c r="I513" s="9"/>
    </row>
    <row r="514">
      <c r="I514" s="9"/>
    </row>
    <row r="515">
      <c r="I515" s="9"/>
    </row>
    <row r="516">
      <c r="I516" s="9"/>
    </row>
    <row r="517">
      <c r="I517" s="9"/>
    </row>
    <row r="518">
      <c r="I518" s="9"/>
    </row>
    <row r="519">
      <c r="I519" s="9"/>
    </row>
    <row r="520">
      <c r="I520" s="9"/>
    </row>
    <row r="521">
      <c r="I521" s="9"/>
    </row>
    <row r="522">
      <c r="I522" s="9"/>
    </row>
    <row r="523">
      <c r="I523" s="9"/>
    </row>
    <row r="524">
      <c r="I524" s="9"/>
    </row>
    <row r="525">
      <c r="I525" s="9"/>
    </row>
    <row r="526">
      <c r="I526" s="9"/>
    </row>
    <row r="527">
      <c r="I527" s="9"/>
    </row>
    <row r="528">
      <c r="I528" s="9"/>
    </row>
    <row r="529">
      <c r="I529" s="9"/>
    </row>
    <row r="530">
      <c r="I530" s="9"/>
    </row>
    <row r="531">
      <c r="I531" s="9"/>
    </row>
    <row r="532">
      <c r="I532" s="9"/>
    </row>
    <row r="533">
      <c r="I533" s="9"/>
    </row>
    <row r="534">
      <c r="I534" s="9"/>
    </row>
    <row r="535">
      <c r="I535" s="9"/>
    </row>
    <row r="536">
      <c r="I536" s="9"/>
    </row>
    <row r="537">
      <c r="I537" s="9"/>
    </row>
    <row r="538">
      <c r="I538" s="9"/>
    </row>
    <row r="539">
      <c r="I539" s="9"/>
    </row>
    <row r="540">
      <c r="I540" s="9"/>
    </row>
    <row r="541">
      <c r="I541" s="9"/>
    </row>
    <row r="542">
      <c r="I542" s="9"/>
    </row>
    <row r="543">
      <c r="I543" s="9"/>
    </row>
    <row r="544">
      <c r="I544" s="9"/>
    </row>
    <row r="545">
      <c r="I545" s="9"/>
    </row>
    <row r="546">
      <c r="I546" s="9"/>
    </row>
    <row r="547">
      <c r="I547" s="9"/>
    </row>
    <row r="548">
      <c r="I548" s="9"/>
    </row>
    <row r="549">
      <c r="I549" s="9"/>
    </row>
    <row r="550">
      <c r="I550" s="9"/>
    </row>
    <row r="551">
      <c r="I551" s="9"/>
    </row>
    <row r="552">
      <c r="I552" s="9"/>
    </row>
    <row r="553">
      <c r="I553" s="9"/>
    </row>
    <row r="554">
      <c r="I554" s="9"/>
    </row>
    <row r="555">
      <c r="I555" s="9"/>
    </row>
    <row r="556">
      <c r="I556" s="9"/>
    </row>
    <row r="557">
      <c r="I557" s="9"/>
    </row>
    <row r="558">
      <c r="I558" s="9"/>
    </row>
    <row r="559">
      <c r="I559" s="9"/>
    </row>
    <row r="560">
      <c r="I560" s="9"/>
    </row>
    <row r="561">
      <c r="I561" s="9"/>
    </row>
    <row r="562">
      <c r="I562" s="9"/>
    </row>
    <row r="563">
      <c r="I563" s="9"/>
    </row>
    <row r="564">
      <c r="I564" s="9"/>
    </row>
    <row r="565">
      <c r="I565" s="9"/>
    </row>
    <row r="566">
      <c r="I566" s="9"/>
    </row>
    <row r="567">
      <c r="I567" s="9"/>
    </row>
    <row r="568">
      <c r="I568" s="9"/>
    </row>
    <row r="569">
      <c r="I569" s="9"/>
    </row>
    <row r="570">
      <c r="I570" s="9"/>
    </row>
    <row r="571">
      <c r="I571" s="9"/>
    </row>
    <row r="572">
      <c r="I572" s="9"/>
    </row>
    <row r="573">
      <c r="I573" s="9"/>
    </row>
    <row r="574">
      <c r="I574" s="9"/>
    </row>
    <row r="575">
      <c r="I575" s="9"/>
    </row>
    <row r="576">
      <c r="I576" s="9"/>
    </row>
    <row r="577">
      <c r="I577" s="9"/>
    </row>
    <row r="578">
      <c r="I578" s="9"/>
    </row>
    <row r="579">
      <c r="I579" s="9"/>
    </row>
    <row r="580">
      <c r="I580" s="9"/>
    </row>
    <row r="581">
      <c r="I581" s="9"/>
    </row>
    <row r="582">
      <c r="I582" s="9"/>
    </row>
    <row r="583">
      <c r="I583" s="9"/>
    </row>
    <row r="584">
      <c r="I584" s="9"/>
    </row>
    <row r="585">
      <c r="I585" s="9"/>
    </row>
    <row r="586">
      <c r="I586" s="9"/>
    </row>
    <row r="587">
      <c r="I587" s="9"/>
    </row>
    <row r="588">
      <c r="I588" s="9"/>
    </row>
    <row r="589">
      <c r="I589" s="9"/>
    </row>
    <row r="590">
      <c r="I590" s="9"/>
    </row>
    <row r="591">
      <c r="I591" s="9"/>
    </row>
    <row r="592">
      <c r="I592" s="9"/>
    </row>
    <row r="593">
      <c r="I593" s="9"/>
    </row>
    <row r="594">
      <c r="I594" s="9"/>
    </row>
    <row r="595">
      <c r="I595" s="9"/>
    </row>
    <row r="596">
      <c r="I596" s="9"/>
    </row>
    <row r="597">
      <c r="I597" s="9"/>
    </row>
    <row r="598">
      <c r="I598" s="9"/>
    </row>
    <row r="599">
      <c r="I599" s="9"/>
    </row>
    <row r="600">
      <c r="I600" s="9"/>
    </row>
    <row r="601">
      <c r="I601" s="9"/>
    </row>
    <row r="602">
      <c r="I602" s="9"/>
    </row>
    <row r="603">
      <c r="I603" s="9"/>
    </row>
    <row r="604">
      <c r="I604" s="9"/>
    </row>
    <row r="605">
      <c r="I605" s="9"/>
    </row>
    <row r="606">
      <c r="I606" s="9"/>
    </row>
    <row r="607">
      <c r="I607" s="9"/>
    </row>
    <row r="608">
      <c r="I608" s="9"/>
    </row>
    <row r="609">
      <c r="I609" s="9"/>
    </row>
    <row r="610">
      <c r="I610" s="9"/>
    </row>
    <row r="611">
      <c r="I611" s="9"/>
    </row>
    <row r="612">
      <c r="I612" s="9"/>
    </row>
    <row r="613">
      <c r="I613" s="9"/>
    </row>
    <row r="614">
      <c r="I614" s="9"/>
    </row>
    <row r="615">
      <c r="I615" s="9"/>
    </row>
    <row r="616">
      <c r="I616" s="9"/>
    </row>
    <row r="617">
      <c r="I617" s="9"/>
    </row>
    <row r="618">
      <c r="I618" s="9"/>
    </row>
    <row r="619">
      <c r="I619" s="9"/>
    </row>
    <row r="620">
      <c r="I620" s="9"/>
    </row>
    <row r="621">
      <c r="I621" s="9"/>
    </row>
    <row r="622">
      <c r="I622" s="9"/>
    </row>
    <row r="623">
      <c r="I623" s="9"/>
    </row>
    <row r="624">
      <c r="I624" s="9"/>
    </row>
    <row r="625">
      <c r="I625" s="9"/>
    </row>
    <row r="626">
      <c r="I626" s="9"/>
    </row>
    <row r="627">
      <c r="I627" s="9"/>
    </row>
    <row r="628">
      <c r="I628" s="9"/>
    </row>
    <row r="629">
      <c r="I629" s="9"/>
    </row>
    <row r="630">
      <c r="I630" s="9"/>
    </row>
    <row r="631">
      <c r="I631" s="9"/>
    </row>
    <row r="632">
      <c r="I632" s="9"/>
    </row>
    <row r="633">
      <c r="I633" s="9"/>
    </row>
    <row r="634">
      <c r="I634" s="9"/>
    </row>
    <row r="635">
      <c r="I635" s="9"/>
    </row>
    <row r="636">
      <c r="I636" s="9"/>
    </row>
    <row r="637">
      <c r="I637" s="9"/>
    </row>
    <row r="638">
      <c r="I638" s="9"/>
    </row>
    <row r="639">
      <c r="I639" s="9"/>
    </row>
    <row r="640">
      <c r="I640" s="9"/>
    </row>
    <row r="641">
      <c r="I641" s="9"/>
    </row>
    <row r="642">
      <c r="I642" s="9"/>
    </row>
    <row r="643">
      <c r="I643" s="9"/>
    </row>
    <row r="644">
      <c r="I644" s="9"/>
    </row>
    <row r="645">
      <c r="I645" s="9"/>
    </row>
    <row r="646">
      <c r="I646" s="9"/>
    </row>
    <row r="647">
      <c r="I647" s="9"/>
    </row>
    <row r="648">
      <c r="I648" s="9"/>
    </row>
    <row r="649">
      <c r="I649" s="9"/>
    </row>
    <row r="650">
      <c r="I650" s="9"/>
    </row>
    <row r="651">
      <c r="I651" s="9"/>
    </row>
    <row r="652">
      <c r="I652" s="9"/>
    </row>
    <row r="653">
      <c r="I653" s="9"/>
    </row>
    <row r="654">
      <c r="I654" s="9"/>
    </row>
    <row r="655">
      <c r="I655" s="9"/>
    </row>
    <row r="656">
      <c r="I656" s="9"/>
    </row>
    <row r="657">
      <c r="I657" s="9"/>
    </row>
    <row r="658">
      <c r="I658" s="9"/>
    </row>
    <row r="659">
      <c r="I659" s="9"/>
    </row>
    <row r="660">
      <c r="I660" s="9"/>
    </row>
    <row r="661">
      <c r="I661" s="9"/>
    </row>
    <row r="662">
      <c r="I662" s="9"/>
    </row>
    <row r="663">
      <c r="I663" s="9"/>
    </row>
    <row r="664">
      <c r="I664" s="9"/>
    </row>
    <row r="665">
      <c r="I665" s="9"/>
    </row>
    <row r="666">
      <c r="I666" s="9"/>
    </row>
    <row r="667">
      <c r="I667" s="9"/>
    </row>
    <row r="668">
      <c r="I668" s="9"/>
    </row>
    <row r="669">
      <c r="I669" s="9"/>
    </row>
    <row r="670">
      <c r="I670" s="9"/>
    </row>
    <row r="671">
      <c r="I671" s="9"/>
    </row>
    <row r="672">
      <c r="I672" s="9"/>
    </row>
    <row r="673">
      <c r="I673" s="9"/>
    </row>
    <row r="674">
      <c r="I674" s="9"/>
    </row>
    <row r="675">
      <c r="I675" s="9"/>
    </row>
    <row r="676">
      <c r="I676" s="9"/>
    </row>
    <row r="677">
      <c r="I677" s="9"/>
    </row>
    <row r="678">
      <c r="I678" s="9"/>
    </row>
    <row r="679">
      <c r="I679" s="9"/>
    </row>
    <row r="680">
      <c r="I680" s="9"/>
    </row>
    <row r="681">
      <c r="I681" s="9"/>
    </row>
    <row r="682">
      <c r="I682" s="9"/>
    </row>
    <row r="683">
      <c r="I683" s="9"/>
    </row>
    <row r="684">
      <c r="I684" s="9"/>
    </row>
    <row r="685">
      <c r="I685" s="9"/>
    </row>
    <row r="686">
      <c r="I686" s="9"/>
    </row>
    <row r="687">
      <c r="I687" s="9"/>
    </row>
    <row r="688">
      <c r="I688" s="9"/>
    </row>
    <row r="689">
      <c r="I689" s="9"/>
    </row>
    <row r="690">
      <c r="I690" s="9"/>
    </row>
    <row r="691">
      <c r="I691" s="9"/>
    </row>
    <row r="692">
      <c r="I692" s="9"/>
    </row>
    <row r="693">
      <c r="I693" s="9"/>
    </row>
    <row r="694">
      <c r="I694" s="9"/>
    </row>
    <row r="695">
      <c r="I695" s="9"/>
    </row>
    <row r="696">
      <c r="I696" s="9"/>
    </row>
    <row r="697">
      <c r="I697" s="9"/>
    </row>
    <row r="698">
      <c r="I698" s="9"/>
    </row>
    <row r="699">
      <c r="I699" s="9"/>
    </row>
    <row r="700">
      <c r="I700" s="9"/>
    </row>
    <row r="701">
      <c r="I701" s="9"/>
    </row>
    <row r="702">
      <c r="I702" s="9"/>
    </row>
    <row r="703">
      <c r="I703" s="9"/>
    </row>
    <row r="704">
      <c r="I704" s="9"/>
    </row>
    <row r="705">
      <c r="I705" s="9"/>
    </row>
    <row r="706">
      <c r="I706" s="9"/>
    </row>
    <row r="707">
      <c r="I707" s="9"/>
    </row>
    <row r="708">
      <c r="I708" s="9"/>
    </row>
    <row r="709">
      <c r="I709" s="9"/>
    </row>
    <row r="710">
      <c r="I710" s="9"/>
    </row>
    <row r="711">
      <c r="I711" s="9"/>
    </row>
    <row r="712">
      <c r="I712" s="9"/>
    </row>
    <row r="713">
      <c r="I713" s="9"/>
    </row>
    <row r="714">
      <c r="I714" s="9"/>
    </row>
    <row r="715">
      <c r="I715" s="9"/>
    </row>
    <row r="716">
      <c r="I716" s="9"/>
    </row>
    <row r="717">
      <c r="I717" s="9"/>
    </row>
    <row r="718">
      <c r="I718" s="9"/>
    </row>
    <row r="719">
      <c r="I719" s="9"/>
    </row>
    <row r="720">
      <c r="I720" s="9"/>
    </row>
    <row r="721">
      <c r="I721" s="9"/>
    </row>
    <row r="722">
      <c r="I722" s="9"/>
    </row>
    <row r="723">
      <c r="I723" s="9"/>
    </row>
    <row r="724">
      <c r="I724" s="9"/>
    </row>
    <row r="725">
      <c r="I725" s="9"/>
    </row>
    <row r="726">
      <c r="I726" s="9"/>
    </row>
    <row r="727">
      <c r="I727" s="9"/>
    </row>
    <row r="728">
      <c r="I728" s="9"/>
    </row>
    <row r="729">
      <c r="I729" s="9"/>
    </row>
    <row r="730">
      <c r="I730" s="9"/>
    </row>
    <row r="731">
      <c r="I731" s="9"/>
    </row>
    <row r="732">
      <c r="I732" s="9"/>
    </row>
    <row r="733">
      <c r="I733" s="9"/>
    </row>
    <row r="734">
      <c r="I734" s="9"/>
    </row>
    <row r="735">
      <c r="I735" s="9"/>
    </row>
    <row r="736">
      <c r="I736" s="9"/>
    </row>
    <row r="737">
      <c r="I737" s="9"/>
    </row>
    <row r="738">
      <c r="I738" s="9"/>
    </row>
    <row r="739">
      <c r="I739" s="9"/>
    </row>
    <row r="740">
      <c r="I740" s="9"/>
    </row>
    <row r="741">
      <c r="I741" s="9"/>
    </row>
    <row r="742">
      <c r="I742" s="9"/>
    </row>
    <row r="743">
      <c r="I743" s="9"/>
    </row>
    <row r="744">
      <c r="I744" s="9"/>
    </row>
    <row r="745">
      <c r="I745" s="9"/>
    </row>
    <row r="746">
      <c r="I746" s="9"/>
    </row>
    <row r="747">
      <c r="I747" s="9"/>
    </row>
    <row r="748">
      <c r="I748" s="9"/>
    </row>
    <row r="749">
      <c r="I749" s="9"/>
    </row>
    <row r="750">
      <c r="I750" s="9"/>
    </row>
    <row r="751">
      <c r="I751" s="9"/>
    </row>
    <row r="752">
      <c r="I752" s="9"/>
    </row>
    <row r="753">
      <c r="I753" s="9"/>
    </row>
    <row r="754">
      <c r="I754" s="9"/>
    </row>
    <row r="755">
      <c r="I755" s="9"/>
    </row>
    <row r="756">
      <c r="I756" s="9"/>
    </row>
    <row r="757">
      <c r="I757" s="9"/>
    </row>
    <row r="758">
      <c r="I758" s="9"/>
    </row>
    <row r="759">
      <c r="I759" s="9"/>
    </row>
    <row r="760">
      <c r="I760" s="9"/>
    </row>
    <row r="761">
      <c r="I761" s="9"/>
    </row>
    <row r="762">
      <c r="I762" s="9"/>
    </row>
    <row r="763">
      <c r="I763" s="9"/>
    </row>
    <row r="764">
      <c r="I764" s="9"/>
    </row>
    <row r="765">
      <c r="I765" s="9"/>
    </row>
    <row r="766">
      <c r="I766" s="9"/>
    </row>
    <row r="767">
      <c r="I767" s="9"/>
    </row>
    <row r="768">
      <c r="I768" s="9"/>
    </row>
    <row r="769">
      <c r="I769" s="9"/>
    </row>
    <row r="770">
      <c r="I770" s="9"/>
    </row>
    <row r="771">
      <c r="I771" s="9"/>
    </row>
    <row r="772">
      <c r="I772" s="9"/>
    </row>
    <row r="773">
      <c r="I773" s="9"/>
    </row>
    <row r="774">
      <c r="I774" s="9"/>
    </row>
    <row r="775">
      <c r="I775" s="9"/>
    </row>
    <row r="776">
      <c r="I776" s="9"/>
    </row>
    <row r="777">
      <c r="I777" s="9"/>
    </row>
    <row r="778">
      <c r="I778" s="9"/>
    </row>
    <row r="779">
      <c r="I779" s="9"/>
    </row>
    <row r="780">
      <c r="I780" s="9"/>
    </row>
    <row r="781">
      <c r="I781" s="9"/>
    </row>
    <row r="782">
      <c r="I782" s="9"/>
    </row>
    <row r="783">
      <c r="I783" s="9"/>
    </row>
    <row r="784">
      <c r="I784" s="9"/>
    </row>
    <row r="785">
      <c r="I785" s="9"/>
    </row>
    <row r="786">
      <c r="I786" s="9"/>
    </row>
    <row r="787">
      <c r="I787" s="9"/>
    </row>
    <row r="788">
      <c r="I788" s="9"/>
    </row>
    <row r="789">
      <c r="I789" s="9"/>
    </row>
    <row r="790">
      <c r="I790" s="9"/>
    </row>
    <row r="791">
      <c r="I791" s="9"/>
    </row>
    <row r="792">
      <c r="I792" s="9"/>
    </row>
    <row r="793">
      <c r="I793" s="9"/>
    </row>
    <row r="794">
      <c r="I794" s="9"/>
    </row>
    <row r="795">
      <c r="I795" s="9"/>
    </row>
    <row r="796">
      <c r="I796" s="9"/>
    </row>
    <row r="797">
      <c r="I797" s="9"/>
    </row>
    <row r="798">
      <c r="I798" s="9"/>
    </row>
    <row r="799">
      <c r="I799" s="9"/>
    </row>
    <row r="800">
      <c r="I800" s="9"/>
    </row>
    <row r="801">
      <c r="I801" s="9"/>
    </row>
    <row r="802">
      <c r="I802" s="9"/>
    </row>
    <row r="803">
      <c r="I803" s="9"/>
    </row>
    <row r="804">
      <c r="I804" s="9"/>
    </row>
    <row r="805">
      <c r="I805" s="9"/>
    </row>
    <row r="806">
      <c r="I806" s="9"/>
    </row>
    <row r="807">
      <c r="I807" s="9"/>
    </row>
    <row r="808">
      <c r="I808" s="9"/>
    </row>
    <row r="809">
      <c r="I809" s="9"/>
    </row>
    <row r="810">
      <c r="I810" s="9"/>
    </row>
    <row r="811">
      <c r="I811" s="9"/>
    </row>
    <row r="812">
      <c r="I812" s="9"/>
    </row>
    <row r="813">
      <c r="I813" s="9"/>
    </row>
    <row r="814">
      <c r="I814" s="9"/>
    </row>
    <row r="815">
      <c r="I815" s="9"/>
    </row>
    <row r="816">
      <c r="I816" s="9"/>
    </row>
    <row r="817">
      <c r="I817" s="9"/>
    </row>
    <row r="818">
      <c r="I818" s="9"/>
    </row>
    <row r="819">
      <c r="I819" s="9"/>
    </row>
    <row r="820">
      <c r="I820" s="9"/>
    </row>
    <row r="821">
      <c r="I821" s="9"/>
    </row>
    <row r="822">
      <c r="I822" s="9"/>
    </row>
    <row r="823">
      <c r="I823" s="9"/>
    </row>
    <row r="824">
      <c r="I824" s="9"/>
    </row>
    <row r="825">
      <c r="I825" s="9"/>
    </row>
    <row r="826">
      <c r="I826" s="9"/>
    </row>
    <row r="827">
      <c r="I827" s="9"/>
    </row>
    <row r="828">
      <c r="I828" s="9"/>
    </row>
    <row r="829">
      <c r="I829" s="9"/>
    </row>
    <row r="830">
      <c r="I830" s="9"/>
    </row>
    <row r="831">
      <c r="I831" s="9"/>
    </row>
    <row r="832">
      <c r="I832" s="9"/>
    </row>
    <row r="833">
      <c r="I833" s="9"/>
    </row>
    <row r="834">
      <c r="I834" s="9"/>
    </row>
    <row r="835">
      <c r="I835" s="9"/>
    </row>
    <row r="836">
      <c r="I836" s="9"/>
    </row>
    <row r="837">
      <c r="I837" s="9"/>
    </row>
    <row r="838">
      <c r="I838" s="9"/>
    </row>
    <row r="839">
      <c r="I839" s="9"/>
    </row>
    <row r="840">
      <c r="I840" s="9"/>
    </row>
    <row r="841">
      <c r="I841" s="9"/>
    </row>
    <row r="842">
      <c r="I842" s="9"/>
    </row>
    <row r="843">
      <c r="I843" s="9"/>
    </row>
    <row r="844">
      <c r="I844" s="9"/>
    </row>
    <row r="845">
      <c r="I845" s="9"/>
    </row>
    <row r="846">
      <c r="I846" s="9"/>
    </row>
    <row r="847">
      <c r="I847" s="9"/>
    </row>
    <row r="848">
      <c r="I848" s="9"/>
    </row>
    <row r="849">
      <c r="I849" s="9"/>
    </row>
    <row r="850">
      <c r="I850" s="9"/>
    </row>
    <row r="851">
      <c r="I851" s="9"/>
    </row>
    <row r="852">
      <c r="I852" s="9"/>
    </row>
    <row r="853">
      <c r="I853" s="9"/>
    </row>
    <row r="854">
      <c r="I854" s="9"/>
    </row>
    <row r="855">
      <c r="I855" s="9"/>
    </row>
    <row r="856">
      <c r="I856" s="9"/>
    </row>
    <row r="857">
      <c r="I857" s="9"/>
    </row>
    <row r="858">
      <c r="I858" s="9"/>
    </row>
    <row r="859">
      <c r="I859" s="9"/>
    </row>
    <row r="860">
      <c r="I860" s="9"/>
    </row>
    <row r="861">
      <c r="I861" s="9"/>
    </row>
    <row r="862">
      <c r="I862" s="9"/>
    </row>
    <row r="863">
      <c r="I863" s="9"/>
    </row>
    <row r="864">
      <c r="I864" s="9"/>
    </row>
    <row r="865">
      <c r="I865" s="9"/>
    </row>
    <row r="866">
      <c r="I866" s="9"/>
    </row>
    <row r="867">
      <c r="I867" s="9"/>
    </row>
    <row r="868">
      <c r="I868" s="9"/>
    </row>
    <row r="869">
      <c r="I869" s="9"/>
    </row>
    <row r="870">
      <c r="I870" s="9"/>
    </row>
    <row r="871">
      <c r="I871" s="9"/>
    </row>
    <row r="872">
      <c r="I872" s="9"/>
    </row>
    <row r="873">
      <c r="I873" s="9"/>
    </row>
    <row r="874">
      <c r="I874" s="9"/>
    </row>
    <row r="875">
      <c r="I875" s="9"/>
    </row>
    <row r="876">
      <c r="I876" s="9"/>
    </row>
    <row r="877">
      <c r="I877" s="9"/>
    </row>
    <row r="878">
      <c r="I878" s="9"/>
    </row>
    <row r="879">
      <c r="I879" s="9"/>
    </row>
    <row r="880">
      <c r="I880" s="9"/>
    </row>
    <row r="881">
      <c r="I881" s="9"/>
    </row>
    <row r="882">
      <c r="I882" s="9"/>
    </row>
    <row r="883">
      <c r="I883" s="9"/>
    </row>
    <row r="884">
      <c r="I884" s="9"/>
    </row>
    <row r="885">
      <c r="I885" s="9"/>
    </row>
    <row r="886">
      <c r="I886" s="9"/>
    </row>
    <row r="887">
      <c r="I887" s="9"/>
    </row>
    <row r="888">
      <c r="I888" s="9"/>
    </row>
    <row r="889">
      <c r="I889" s="9"/>
    </row>
    <row r="890">
      <c r="I890" s="9"/>
    </row>
    <row r="891">
      <c r="I891" s="9"/>
    </row>
    <row r="892">
      <c r="I892" s="9"/>
    </row>
    <row r="893">
      <c r="I893" s="9"/>
    </row>
    <row r="894">
      <c r="I894" s="9"/>
    </row>
    <row r="895">
      <c r="I895" s="9"/>
    </row>
    <row r="896">
      <c r="I896" s="9"/>
    </row>
    <row r="897">
      <c r="I897" s="9"/>
    </row>
    <row r="898">
      <c r="I898" s="9"/>
    </row>
    <row r="899">
      <c r="I899" s="9"/>
    </row>
    <row r="900">
      <c r="I900" s="9"/>
    </row>
    <row r="901">
      <c r="I901" s="9"/>
    </row>
    <row r="902">
      <c r="I902" s="9"/>
    </row>
    <row r="903">
      <c r="I903" s="9"/>
    </row>
    <row r="904">
      <c r="I904" s="9"/>
    </row>
    <row r="905">
      <c r="I905" s="9"/>
    </row>
    <row r="906">
      <c r="I906" s="9"/>
    </row>
    <row r="907">
      <c r="I907" s="9"/>
    </row>
    <row r="908">
      <c r="I908" s="9"/>
    </row>
    <row r="909">
      <c r="I909" s="9"/>
    </row>
    <row r="910">
      <c r="I910" s="9"/>
    </row>
    <row r="911">
      <c r="I911" s="9"/>
    </row>
    <row r="912">
      <c r="I912" s="9"/>
    </row>
    <row r="913">
      <c r="I913" s="9"/>
    </row>
    <row r="914">
      <c r="I914" s="9"/>
    </row>
    <row r="915">
      <c r="I915" s="9"/>
    </row>
    <row r="916">
      <c r="I916" s="9"/>
    </row>
    <row r="917">
      <c r="I917" s="9"/>
    </row>
    <row r="918">
      <c r="I918" s="9"/>
    </row>
    <row r="919">
      <c r="I919" s="9"/>
    </row>
    <row r="920">
      <c r="I920" s="9"/>
    </row>
    <row r="921">
      <c r="I921" s="9"/>
    </row>
    <row r="922">
      <c r="I922" s="9"/>
    </row>
    <row r="923">
      <c r="I923" s="9"/>
    </row>
    <row r="924">
      <c r="I924" s="9"/>
    </row>
    <row r="925">
      <c r="I925" s="9"/>
    </row>
    <row r="926">
      <c r="I926" s="9"/>
    </row>
    <row r="927">
      <c r="I927" s="9"/>
    </row>
    <row r="928">
      <c r="I928" s="9"/>
    </row>
    <row r="929">
      <c r="I929" s="9"/>
    </row>
    <row r="930">
      <c r="I930" s="9"/>
    </row>
    <row r="931">
      <c r="I931" s="9"/>
    </row>
    <row r="932">
      <c r="I932" s="9"/>
    </row>
    <row r="933">
      <c r="I933" s="9"/>
    </row>
    <row r="934">
      <c r="I934" s="9"/>
    </row>
    <row r="935">
      <c r="I935" s="9"/>
    </row>
    <row r="936">
      <c r="I936" s="9"/>
    </row>
    <row r="937">
      <c r="I937" s="9"/>
    </row>
    <row r="938">
      <c r="I938" s="9"/>
    </row>
    <row r="939">
      <c r="I939" s="9"/>
    </row>
    <row r="940">
      <c r="I940" s="9"/>
    </row>
    <row r="941">
      <c r="I941" s="9"/>
    </row>
    <row r="942">
      <c r="I942" s="9"/>
    </row>
    <row r="943">
      <c r="I943" s="9"/>
    </row>
    <row r="944">
      <c r="I944" s="9"/>
    </row>
    <row r="945">
      <c r="I945" s="9"/>
    </row>
    <row r="946">
      <c r="I946" s="9"/>
    </row>
    <row r="947">
      <c r="I947" s="9"/>
    </row>
    <row r="948">
      <c r="I948" s="9"/>
    </row>
    <row r="949">
      <c r="I949" s="9"/>
    </row>
    <row r="950">
      <c r="I950" s="9"/>
    </row>
    <row r="951">
      <c r="I951" s="9"/>
    </row>
    <row r="952">
      <c r="I952" s="9"/>
    </row>
    <row r="953">
      <c r="I953" s="9"/>
    </row>
    <row r="954">
      <c r="I954" s="9"/>
    </row>
    <row r="955">
      <c r="I955" s="9"/>
    </row>
    <row r="956">
      <c r="I956" s="9"/>
    </row>
    <row r="957">
      <c r="I957" s="9"/>
    </row>
    <row r="958">
      <c r="I958" s="9"/>
    </row>
    <row r="959">
      <c r="I959" s="9"/>
    </row>
    <row r="960">
      <c r="I960" s="9"/>
    </row>
    <row r="961">
      <c r="I961" s="9"/>
    </row>
    <row r="962">
      <c r="I962" s="9"/>
    </row>
    <row r="963">
      <c r="I963" s="9"/>
    </row>
    <row r="964">
      <c r="I964" s="9"/>
    </row>
    <row r="965">
      <c r="I965" s="9"/>
    </row>
    <row r="966">
      <c r="I966" s="9"/>
    </row>
    <row r="967">
      <c r="I967" s="9"/>
    </row>
    <row r="968">
      <c r="I968" s="9"/>
    </row>
    <row r="969">
      <c r="I969" s="9"/>
    </row>
    <row r="970">
      <c r="I970" s="9"/>
    </row>
    <row r="971">
      <c r="I971" s="9"/>
    </row>
    <row r="972">
      <c r="I972" s="9"/>
    </row>
    <row r="973">
      <c r="I973" s="9"/>
    </row>
    <row r="974">
      <c r="I974" s="9"/>
    </row>
    <row r="975">
      <c r="I975" s="9"/>
    </row>
    <row r="976">
      <c r="I976" s="9"/>
    </row>
    <row r="977">
      <c r="I977" s="9"/>
    </row>
    <row r="978">
      <c r="I978" s="9"/>
    </row>
    <row r="979">
      <c r="I979" s="9"/>
    </row>
    <row r="980">
      <c r="I980" s="9"/>
    </row>
    <row r="981">
      <c r="I981" s="9"/>
    </row>
    <row r="982">
      <c r="I982" s="9"/>
    </row>
    <row r="983">
      <c r="I983" s="9"/>
    </row>
    <row r="984">
      <c r="I984" s="9"/>
    </row>
  </sheetData>
  <hyperlinks>
    <hyperlink r:id="rId4" location=":~:text=%D0%A7%D0%B8%D1%81%D0%BB%D0%BE%20%D0%B2%D0%B8%D0%B7%D0%B8%D1%82%D0%BE%D0%B2%20%D0%BD%D0%B0%20%D0%BF%D0%BB%D0%B0%D1%82%D1%84%D0%BE%D1%80%D0%BC%D1%83%20%D1%81%D0%BE%D1%81%D1%82%D0%B0%D0%B2%D0%B8%D0%BB%D0%BE%20366%2C7%20%D0%BC%D0%BB%D0%BD%20%D0%B2%20%D0%BC%D0%B5%D1%81%D1%8F%D1%86&amp;text=%D0%9F%D0%BE%D0%BB%D1%8C%D0%B7%D0%BE%D0%B2%D0%B0%D1%82%D0%B5%D0%BB%D0%B8%20%C2%AB%D0%90%D0%B2%D0%B8%D1%82%D0%BE%C2%BB%20%D1%83%D1%81%D1%82%D0%B0%D0%BD%D0%BE%D0%B2%D0%B8%D0%BB%D0%B8%20%D1%80%D0%B5%D0%BA%D0%BE%D1%80%D0%B4%20%D0%BF%D0%BE,%C2%AB%D0%A3%D1%81%D0%BB%D1%83%D0%B3%D0%B8%C2%BB%20%E2%80%94%2020%25." ref="I2"/>
  </hyperlinks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25.25"/>
    <col customWidth="1" min="2" max="2" width="22.75"/>
    <col customWidth="1" min="3" max="3" width="7.0"/>
    <col customWidth="1" min="64" max="64" width="4.63"/>
    <col customWidth="1" min="65" max="65" width="13.38"/>
    <col customWidth="1" min="66" max="66" width="2.13"/>
    <col customWidth="1" min="68" max="68" width="2.13"/>
    <col customWidth="1" min="70" max="70" width="2.13"/>
    <col customWidth="1" min="72" max="72" width="2.13"/>
    <col customWidth="1" min="74" max="74" width="2.13"/>
    <col hidden="1" min="78" max="87" width="12.63"/>
  </cols>
  <sheetData>
    <row r="1">
      <c r="A1" s="10"/>
      <c r="D1" s="11"/>
      <c r="E1" s="11"/>
      <c r="F1" s="11"/>
      <c r="G1" s="11"/>
      <c r="H1" s="11"/>
      <c r="I1" s="11"/>
      <c r="J1" s="11"/>
      <c r="K1" s="11"/>
      <c r="L1" s="11"/>
      <c r="M1" s="12"/>
      <c r="N1" s="11"/>
      <c r="O1" s="11"/>
      <c r="P1" s="11"/>
      <c r="Q1" s="11"/>
      <c r="R1" s="11"/>
      <c r="S1" s="11"/>
      <c r="T1" s="11"/>
      <c r="U1" s="12" t="s">
        <v>18</v>
      </c>
      <c r="V1" s="13" t="s">
        <v>19</v>
      </c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</row>
    <row r="2">
      <c r="A2" s="14"/>
      <c r="B2" s="15"/>
      <c r="D2" s="16">
        <v>2026.0</v>
      </c>
      <c r="E2" s="17">
        <f t="shared" ref="E2:O2" si="1">D2</f>
        <v>2026</v>
      </c>
      <c r="F2" s="17">
        <f t="shared" si="1"/>
        <v>2026</v>
      </c>
      <c r="G2" s="17">
        <f t="shared" si="1"/>
        <v>2026</v>
      </c>
      <c r="H2" s="17">
        <f t="shared" si="1"/>
        <v>2026</v>
      </c>
      <c r="I2" s="17">
        <f t="shared" si="1"/>
        <v>2026</v>
      </c>
      <c r="J2" s="17">
        <f t="shared" si="1"/>
        <v>2026</v>
      </c>
      <c r="K2" s="17">
        <f t="shared" si="1"/>
        <v>2026</v>
      </c>
      <c r="L2" s="17">
        <f t="shared" si="1"/>
        <v>2026</v>
      </c>
      <c r="M2" s="17">
        <f t="shared" si="1"/>
        <v>2026</v>
      </c>
      <c r="N2" s="17">
        <f t="shared" si="1"/>
        <v>2026</v>
      </c>
      <c r="O2" s="17">
        <f t="shared" si="1"/>
        <v>2026</v>
      </c>
      <c r="P2" s="16">
        <f>D2+1</f>
        <v>2027</v>
      </c>
      <c r="Q2" s="17">
        <f t="shared" ref="Q2:AA2" si="2">P2</f>
        <v>2027</v>
      </c>
      <c r="R2" s="17">
        <f t="shared" si="2"/>
        <v>2027</v>
      </c>
      <c r="S2" s="17">
        <f t="shared" si="2"/>
        <v>2027</v>
      </c>
      <c r="T2" s="17">
        <f t="shared" si="2"/>
        <v>2027</v>
      </c>
      <c r="U2" s="17">
        <f t="shared" si="2"/>
        <v>2027</v>
      </c>
      <c r="V2" s="17">
        <f t="shared" si="2"/>
        <v>2027</v>
      </c>
      <c r="W2" s="17">
        <f t="shared" si="2"/>
        <v>2027</v>
      </c>
      <c r="X2" s="17">
        <f t="shared" si="2"/>
        <v>2027</v>
      </c>
      <c r="Y2" s="17">
        <f t="shared" si="2"/>
        <v>2027</v>
      </c>
      <c r="Z2" s="17">
        <f t="shared" si="2"/>
        <v>2027</v>
      </c>
      <c r="AA2" s="17">
        <f t="shared" si="2"/>
        <v>2027</v>
      </c>
      <c r="AB2" s="16">
        <f>P2+1</f>
        <v>2028</v>
      </c>
      <c r="AC2" s="17">
        <f t="shared" ref="AC2:AM2" si="3">AB2</f>
        <v>2028</v>
      </c>
      <c r="AD2" s="17">
        <f t="shared" si="3"/>
        <v>2028</v>
      </c>
      <c r="AE2" s="17">
        <f t="shared" si="3"/>
        <v>2028</v>
      </c>
      <c r="AF2" s="17">
        <f t="shared" si="3"/>
        <v>2028</v>
      </c>
      <c r="AG2" s="17">
        <f t="shared" si="3"/>
        <v>2028</v>
      </c>
      <c r="AH2" s="17">
        <f t="shared" si="3"/>
        <v>2028</v>
      </c>
      <c r="AI2" s="17">
        <f t="shared" si="3"/>
        <v>2028</v>
      </c>
      <c r="AJ2" s="17">
        <f t="shared" si="3"/>
        <v>2028</v>
      </c>
      <c r="AK2" s="17">
        <f t="shared" si="3"/>
        <v>2028</v>
      </c>
      <c r="AL2" s="17">
        <f t="shared" si="3"/>
        <v>2028</v>
      </c>
      <c r="AM2" s="17">
        <f t="shared" si="3"/>
        <v>2028</v>
      </c>
      <c r="AN2" s="16">
        <f>AB2+1</f>
        <v>2029</v>
      </c>
      <c r="AO2" s="17">
        <f t="shared" ref="AO2:AY2" si="4">AN2</f>
        <v>2029</v>
      </c>
      <c r="AP2" s="17">
        <f t="shared" si="4"/>
        <v>2029</v>
      </c>
      <c r="AQ2" s="17">
        <f t="shared" si="4"/>
        <v>2029</v>
      </c>
      <c r="AR2" s="17">
        <f t="shared" si="4"/>
        <v>2029</v>
      </c>
      <c r="AS2" s="17">
        <f t="shared" si="4"/>
        <v>2029</v>
      </c>
      <c r="AT2" s="17">
        <f t="shared" si="4"/>
        <v>2029</v>
      </c>
      <c r="AU2" s="17">
        <f t="shared" si="4"/>
        <v>2029</v>
      </c>
      <c r="AV2" s="17">
        <f t="shared" si="4"/>
        <v>2029</v>
      </c>
      <c r="AW2" s="17">
        <f t="shared" si="4"/>
        <v>2029</v>
      </c>
      <c r="AX2" s="17">
        <f t="shared" si="4"/>
        <v>2029</v>
      </c>
      <c r="AY2" s="17">
        <f t="shared" si="4"/>
        <v>2029</v>
      </c>
      <c r="AZ2" s="16">
        <f>AN2+1</f>
        <v>2030</v>
      </c>
      <c r="BA2" s="17">
        <f t="shared" ref="BA2:BK2" si="5">AZ2</f>
        <v>2030</v>
      </c>
      <c r="BB2" s="17">
        <f t="shared" si="5"/>
        <v>2030</v>
      </c>
      <c r="BC2" s="17">
        <f t="shared" si="5"/>
        <v>2030</v>
      </c>
      <c r="BD2" s="17">
        <f t="shared" si="5"/>
        <v>2030</v>
      </c>
      <c r="BE2" s="17">
        <f t="shared" si="5"/>
        <v>2030</v>
      </c>
      <c r="BF2" s="17">
        <f t="shared" si="5"/>
        <v>2030</v>
      </c>
      <c r="BG2" s="17">
        <f t="shared" si="5"/>
        <v>2030</v>
      </c>
      <c r="BH2" s="17">
        <f t="shared" si="5"/>
        <v>2030</v>
      </c>
      <c r="BI2" s="17">
        <f t="shared" si="5"/>
        <v>2030</v>
      </c>
      <c r="BJ2" s="17">
        <f t="shared" si="5"/>
        <v>2030</v>
      </c>
      <c r="BK2" s="17">
        <f t="shared" si="5"/>
        <v>2030</v>
      </c>
      <c r="BL2" s="14"/>
      <c r="BM2" s="17">
        <v>2026.0</v>
      </c>
      <c r="BN2" s="14"/>
      <c r="BO2" s="17">
        <v>2027.0</v>
      </c>
      <c r="BP2" s="14"/>
      <c r="BQ2" s="17">
        <v>2028.0</v>
      </c>
      <c r="BR2" s="14"/>
      <c r="BS2" s="17">
        <v>2029.0</v>
      </c>
      <c r="BT2" s="14"/>
      <c r="BU2" s="17">
        <v>2030.0</v>
      </c>
      <c r="BV2" s="14"/>
      <c r="BW2" s="17" t="s">
        <v>20</v>
      </c>
      <c r="BX2" s="18"/>
      <c r="BY2" s="18"/>
      <c r="BZ2" s="18"/>
      <c r="CA2" s="18"/>
      <c r="CB2" s="14"/>
      <c r="CC2" s="18"/>
      <c r="CD2" s="18"/>
      <c r="CE2" s="18"/>
      <c r="CF2" s="18"/>
      <c r="CG2" s="18"/>
      <c r="CH2" s="18"/>
      <c r="CI2" s="18"/>
    </row>
    <row r="3">
      <c r="B3" s="19" t="s">
        <v>21</v>
      </c>
      <c r="C3" s="20" t="s">
        <v>22</v>
      </c>
      <c r="D3" s="16">
        <v>31.0</v>
      </c>
      <c r="E3" s="17">
        <v>28.0</v>
      </c>
      <c r="F3" s="17">
        <v>31.0</v>
      </c>
      <c r="G3" s="17">
        <v>30.0</v>
      </c>
      <c r="H3" s="17">
        <v>31.0</v>
      </c>
      <c r="I3" s="17">
        <v>30.0</v>
      </c>
      <c r="J3" s="17">
        <v>31.0</v>
      </c>
      <c r="K3" s="17">
        <v>31.0</v>
      </c>
      <c r="L3" s="17">
        <v>30.0</v>
      </c>
      <c r="M3" s="17">
        <v>31.0</v>
      </c>
      <c r="N3" s="17">
        <v>30.0</v>
      </c>
      <c r="O3" s="21">
        <v>31.0</v>
      </c>
      <c r="P3" s="17">
        <v>31.0</v>
      </c>
      <c r="Q3" s="17">
        <v>28.0</v>
      </c>
      <c r="R3" s="17">
        <v>31.0</v>
      </c>
      <c r="S3" s="17">
        <v>30.0</v>
      </c>
      <c r="T3" s="17">
        <v>31.0</v>
      </c>
      <c r="U3" s="17">
        <v>30.0</v>
      </c>
      <c r="V3" s="17">
        <v>31.0</v>
      </c>
      <c r="W3" s="17">
        <v>31.0</v>
      </c>
      <c r="X3" s="17">
        <v>30.0</v>
      </c>
      <c r="Y3" s="17">
        <v>31.0</v>
      </c>
      <c r="Z3" s="17">
        <v>30.0</v>
      </c>
      <c r="AA3" s="21">
        <v>31.0</v>
      </c>
      <c r="AB3" s="17">
        <v>31.0</v>
      </c>
      <c r="AC3" s="17">
        <v>28.0</v>
      </c>
      <c r="AD3" s="17">
        <v>31.0</v>
      </c>
      <c r="AE3" s="17">
        <v>30.0</v>
      </c>
      <c r="AF3" s="17">
        <v>31.0</v>
      </c>
      <c r="AG3" s="17">
        <v>30.0</v>
      </c>
      <c r="AH3" s="17">
        <v>31.0</v>
      </c>
      <c r="AI3" s="17">
        <v>31.0</v>
      </c>
      <c r="AJ3" s="17">
        <v>30.0</v>
      </c>
      <c r="AK3" s="17">
        <v>31.0</v>
      </c>
      <c r="AL3" s="17">
        <v>30.0</v>
      </c>
      <c r="AM3" s="21">
        <v>31.0</v>
      </c>
      <c r="AN3" s="17">
        <v>31.0</v>
      </c>
      <c r="AO3" s="17">
        <v>28.0</v>
      </c>
      <c r="AP3" s="17">
        <v>31.0</v>
      </c>
      <c r="AQ3" s="17">
        <v>30.0</v>
      </c>
      <c r="AR3" s="17">
        <v>31.0</v>
      </c>
      <c r="AS3" s="17">
        <v>30.0</v>
      </c>
      <c r="AT3" s="17">
        <v>31.0</v>
      </c>
      <c r="AU3" s="17">
        <v>31.0</v>
      </c>
      <c r="AV3" s="17">
        <v>30.0</v>
      </c>
      <c r="AW3" s="17">
        <v>31.0</v>
      </c>
      <c r="AX3" s="17">
        <v>30.0</v>
      </c>
      <c r="AY3" s="21">
        <v>31.0</v>
      </c>
      <c r="AZ3" s="17">
        <v>31.0</v>
      </c>
      <c r="BA3" s="17">
        <v>29.0</v>
      </c>
      <c r="BB3" s="17">
        <v>31.0</v>
      </c>
      <c r="BC3" s="17">
        <v>30.0</v>
      </c>
      <c r="BD3" s="17">
        <v>31.0</v>
      </c>
      <c r="BE3" s="17">
        <v>30.0</v>
      </c>
      <c r="BF3" s="17">
        <v>31.0</v>
      </c>
      <c r="BG3" s="17">
        <v>31.0</v>
      </c>
      <c r="BH3" s="17">
        <v>30.0</v>
      </c>
      <c r="BI3" s="17">
        <v>31.0</v>
      </c>
      <c r="BJ3" s="17">
        <v>30.0</v>
      </c>
      <c r="BK3" s="21">
        <v>31.0</v>
      </c>
      <c r="BL3" s="14"/>
      <c r="BM3" s="22"/>
      <c r="BN3" s="14"/>
      <c r="BO3" s="22"/>
      <c r="BP3" s="14"/>
      <c r="BQ3" s="22"/>
      <c r="BR3" s="14"/>
      <c r="BS3" s="22"/>
      <c r="BT3" s="14"/>
      <c r="BU3" s="22"/>
      <c r="BV3" s="14"/>
      <c r="BW3" s="22"/>
      <c r="BX3" s="18"/>
      <c r="BY3" s="18"/>
      <c r="BZ3" s="18"/>
      <c r="CA3" s="18"/>
      <c r="CB3" s="14"/>
      <c r="CC3" s="18"/>
      <c r="CD3" s="18"/>
      <c r="CE3" s="18"/>
      <c r="CF3" s="18"/>
      <c r="CG3" s="18"/>
      <c r="CH3" s="18"/>
      <c r="CI3" s="18"/>
    </row>
    <row r="4">
      <c r="B4" s="15"/>
      <c r="D4" s="16" t="s">
        <v>23</v>
      </c>
      <c r="E4" s="17" t="s">
        <v>24</v>
      </c>
      <c r="F4" s="17" t="s">
        <v>25</v>
      </c>
      <c r="G4" s="17" t="s">
        <v>26</v>
      </c>
      <c r="H4" s="17" t="s">
        <v>27</v>
      </c>
      <c r="I4" s="17" t="s">
        <v>28</v>
      </c>
      <c r="J4" s="17" t="s">
        <v>29</v>
      </c>
      <c r="K4" s="17" t="s">
        <v>30</v>
      </c>
      <c r="L4" s="17" t="s">
        <v>31</v>
      </c>
      <c r="M4" s="17" t="s">
        <v>32</v>
      </c>
      <c r="N4" s="17" t="s">
        <v>33</v>
      </c>
      <c r="O4" s="21" t="s">
        <v>34</v>
      </c>
      <c r="P4" s="17" t="s">
        <v>23</v>
      </c>
      <c r="Q4" s="17" t="s">
        <v>24</v>
      </c>
      <c r="R4" s="17" t="s">
        <v>25</v>
      </c>
      <c r="S4" s="17" t="s">
        <v>26</v>
      </c>
      <c r="T4" s="17" t="s">
        <v>27</v>
      </c>
      <c r="U4" s="17" t="s">
        <v>28</v>
      </c>
      <c r="V4" s="17" t="s">
        <v>29</v>
      </c>
      <c r="W4" s="17" t="s">
        <v>30</v>
      </c>
      <c r="X4" s="17" t="s">
        <v>31</v>
      </c>
      <c r="Y4" s="17" t="s">
        <v>32</v>
      </c>
      <c r="Z4" s="17" t="s">
        <v>33</v>
      </c>
      <c r="AA4" s="21" t="s">
        <v>34</v>
      </c>
      <c r="AB4" s="17" t="s">
        <v>23</v>
      </c>
      <c r="AC4" s="17" t="s">
        <v>24</v>
      </c>
      <c r="AD4" s="17" t="s">
        <v>25</v>
      </c>
      <c r="AE4" s="17" t="s">
        <v>26</v>
      </c>
      <c r="AF4" s="17" t="s">
        <v>27</v>
      </c>
      <c r="AG4" s="17" t="s">
        <v>28</v>
      </c>
      <c r="AH4" s="17" t="s">
        <v>29</v>
      </c>
      <c r="AI4" s="17" t="s">
        <v>30</v>
      </c>
      <c r="AJ4" s="17" t="s">
        <v>31</v>
      </c>
      <c r="AK4" s="17" t="s">
        <v>32</v>
      </c>
      <c r="AL4" s="17" t="s">
        <v>33</v>
      </c>
      <c r="AM4" s="21" t="s">
        <v>34</v>
      </c>
      <c r="AN4" s="17" t="s">
        <v>23</v>
      </c>
      <c r="AO4" s="17" t="s">
        <v>24</v>
      </c>
      <c r="AP4" s="17" t="s">
        <v>25</v>
      </c>
      <c r="AQ4" s="17" t="s">
        <v>26</v>
      </c>
      <c r="AR4" s="17" t="s">
        <v>27</v>
      </c>
      <c r="AS4" s="17" t="s">
        <v>28</v>
      </c>
      <c r="AT4" s="17" t="s">
        <v>29</v>
      </c>
      <c r="AU4" s="17" t="s">
        <v>30</v>
      </c>
      <c r="AV4" s="17" t="s">
        <v>31</v>
      </c>
      <c r="AW4" s="17" t="s">
        <v>32</v>
      </c>
      <c r="AX4" s="17" t="s">
        <v>33</v>
      </c>
      <c r="AY4" s="21" t="s">
        <v>34</v>
      </c>
      <c r="AZ4" s="17" t="s">
        <v>23</v>
      </c>
      <c r="BA4" s="17" t="s">
        <v>24</v>
      </c>
      <c r="BB4" s="17" t="s">
        <v>25</v>
      </c>
      <c r="BC4" s="17" t="s">
        <v>26</v>
      </c>
      <c r="BD4" s="17" t="s">
        <v>27</v>
      </c>
      <c r="BE4" s="17" t="s">
        <v>28</v>
      </c>
      <c r="BF4" s="17" t="s">
        <v>29</v>
      </c>
      <c r="BG4" s="17" t="s">
        <v>30</v>
      </c>
      <c r="BH4" s="17" t="s">
        <v>31</v>
      </c>
      <c r="BI4" s="17" t="s">
        <v>32</v>
      </c>
      <c r="BJ4" s="17" t="s">
        <v>33</v>
      </c>
      <c r="BK4" s="21" t="s">
        <v>34</v>
      </c>
      <c r="BL4" s="14"/>
      <c r="BM4" s="22"/>
      <c r="BN4" s="14"/>
      <c r="BO4" s="22"/>
      <c r="BP4" s="14"/>
      <c r="BQ4" s="22"/>
      <c r="BR4" s="14"/>
      <c r="BS4" s="22"/>
      <c r="BT4" s="14"/>
      <c r="BU4" s="22"/>
      <c r="BV4" s="14"/>
      <c r="BW4" s="22"/>
      <c r="BX4" s="18"/>
      <c r="BY4" s="18"/>
      <c r="BZ4" s="18"/>
      <c r="CA4" s="18"/>
      <c r="CB4" s="14"/>
      <c r="CC4" s="18"/>
      <c r="CD4" s="18"/>
      <c r="CE4" s="18"/>
      <c r="CF4" s="18"/>
      <c r="CG4" s="18"/>
      <c r="CH4" s="18"/>
      <c r="CI4" s="18"/>
    </row>
    <row r="5">
      <c r="B5" s="2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4"/>
      <c r="BM5" s="18"/>
      <c r="BN5" s="14"/>
      <c r="BO5" s="18"/>
      <c r="BP5" s="14"/>
      <c r="BQ5" s="18"/>
      <c r="BR5" s="14"/>
      <c r="BS5" s="18"/>
      <c r="BT5" s="14"/>
      <c r="BU5" s="18"/>
      <c r="BV5" s="14"/>
      <c r="BW5" s="18"/>
      <c r="BX5" s="18"/>
      <c r="BY5" s="18"/>
      <c r="BZ5" s="18"/>
      <c r="CA5" s="18"/>
      <c r="CB5" s="14"/>
      <c r="CC5" s="18"/>
      <c r="CD5" s="18"/>
      <c r="CE5" s="18"/>
      <c r="CF5" s="18"/>
      <c r="CG5" s="18"/>
      <c r="CH5" s="18"/>
      <c r="CI5" s="18"/>
    </row>
    <row r="6">
      <c r="A6" s="14"/>
      <c r="B6" s="2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</row>
    <row r="7">
      <c r="B7" s="24" t="s">
        <v>35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14"/>
      <c r="BM7" s="25"/>
      <c r="BN7" s="14"/>
      <c r="BO7" s="25"/>
      <c r="BP7" s="14"/>
      <c r="BQ7" s="25"/>
      <c r="BR7" s="14"/>
      <c r="BS7" s="25"/>
      <c r="BT7" s="14"/>
      <c r="BU7" s="25"/>
      <c r="BV7" s="14"/>
      <c r="BW7" s="25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</row>
    <row r="8">
      <c r="B8" s="26"/>
      <c r="C8" s="27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</row>
    <row r="9">
      <c r="A9" s="28" t="s">
        <v>36</v>
      </c>
      <c r="B9" s="29" t="s">
        <v>4</v>
      </c>
      <c r="C9" s="30" t="s">
        <v>37</v>
      </c>
      <c r="D9" s="31">
        <f>Assumptions!C2</f>
        <v>72000000</v>
      </c>
      <c r="E9" s="32">
        <f>D9*(1+Assumptions!$C$3/12)</f>
        <v>72120000</v>
      </c>
      <c r="F9" s="32">
        <f>E9*(1+Assumptions!$C$3/12)</f>
        <v>72240200</v>
      </c>
      <c r="G9" s="32">
        <f>F9*(1+Assumptions!$C$3/12)</f>
        <v>72360600.33</v>
      </c>
      <c r="H9" s="32">
        <f>G9*(1+Assumptions!$C$3/12)</f>
        <v>72481201.33</v>
      </c>
      <c r="I9" s="32">
        <f>H9*(1+Assumptions!$C$3/12)</f>
        <v>72602003.34</v>
      </c>
      <c r="J9" s="32">
        <f>I9*(1+Assumptions!$C$3/12)</f>
        <v>72723006.68</v>
      </c>
      <c r="K9" s="32">
        <f>J9*(1+Assumptions!$C$3/12)</f>
        <v>72844211.69</v>
      </c>
      <c r="L9" s="32">
        <f>K9*(1+Assumptions!$C$3/12)</f>
        <v>72965618.71</v>
      </c>
      <c r="M9" s="32">
        <f>L9*(1+Assumptions!$C$3/12)</f>
        <v>73087228.07</v>
      </c>
      <c r="N9" s="32">
        <f>M9*(1+Assumptions!$C$3/12)</f>
        <v>73209040.12</v>
      </c>
      <c r="O9" s="32">
        <f>N9*(1+Assumptions!$C$3/12)</f>
        <v>73331055.18</v>
      </c>
      <c r="P9" s="32">
        <f>O9*(1+Assumptions!$C$3/12)</f>
        <v>73453273.61</v>
      </c>
      <c r="Q9" s="32">
        <f>P9*(1+Assumptions!$C$3/12)</f>
        <v>73575695.73</v>
      </c>
      <c r="R9" s="32">
        <f>Q9*(1+Assumptions!$C$3/12)</f>
        <v>73698321.89</v>
      </c>
      <c r="S9" s="32">
        <f>R9*(1+Assumptions!$C$3/12)</f>
        <v>73821152.43</v>
      </c>
      <c r="T9" s="32">
        <f>S9*(1+Assumptions!$C$3/12)</f>
        <v>73944187.68</v>
      </c>
      <c r="U9" s="32">
        <f>T9*(1+Assumptions!$C$3/12)</f>
        <v>74067427.99</v>
      </c>
      <c r="V9" s="32">
        <f>U9*(1+Assumptions!$C$3/12)</f>
        <v>74190873.71</v>
      </c>
      <c r="W9" s="32">
        <f>V9*(1+Assumptions!$C$3/12)</f>
        <v>74314525.16</v>
      </c>
      <c r="X9" s="32">
        <f>W9*(1+Assumptions!$C$3/12)</f>
        <v>74438382.71</v>
      </c>
      <c r="Y9" s="32">
        <f>X9*(1+Assumptions!$C$3/12)</f>
        <v>74562446.68</v>
      </c>
      <c r="Z9" s="32">
        <f>Y9*(1+Assumptions!$C$3/12)</f>
        <v>74686717.42</v>
      </c>
      <c r="AA9" s="32">
        <f>Z9*(1+Assumptions!$C$3/12)</f>
        <v>74811195.28</v>
      </c>
      <c r="AB9" s="32">
        <f>AA9*(1+Assumptions!$C$3/12)</f>
        <v>74935880.61</v>
      </c>
      <c r="AC9" s="32">
        <f>AB9*(1+Assumptions!$C$3/12)</f>
        <v>75060773.74</v>
      </c>
      <c r="AD9" s="32">
        <f>AC9*(1+Assumptions!$C$3/12)</f>
        <v>75185875.03</v>
      </c>
      <c r="AE9" s="32">
        <f>AD9*(1+Assumptions!$C$3/12)</f>
        <v>75311184.83</v>
      </c>
      <c r="AF9" s="32">
        <f>AE9*(1+Assumptions!$C$3/12)</f>
        <v>75436703.47</v>
      </c>
      <c r="AG9" s="32">
        <f>AF9*(1+Assumptions!$C$3/12)</f>
        <v>75562431.31</v>
      </c>
      <c r="AH9" s="32">
        <f>AG9*(1+Assumptions!$C$3/12)</f>
        <v>75688368.69</v>
      </c>
      <c r="AI9" s="32">
        <f>AH9*(1+Assumptions!$C$3/12)</f>
        <v>75814515.97</v>
      </c>
      <c r="AJ9" s="32">
        <f>AI9*(1+Assumptions!$C$3/12)</f>
        <v>75940873.5</v>
      </c>
      <c r="AK9" s="32">
        <f>AJ9*(1+Assumptions!$C$3/12)</f>
        <v>76067441.62</v>
      </c>
      <c r="AL9" s="32">
        <f>AK9*(1+Assumptions!$C$3/12)</f>
        <v>76194220.69</v>
      </c>
      <c r="AM9" s="32">
        <f>AL9*(1+Assumptions!$C$3/12)</f>
        <v>76321211.06</v>
      </c>
      <c r="AN9" s="32">
        <f>AM9*(1+Assumptions!$C$3/12)</f>
        <v>76448413.08</v>
      </c>
      <c r="AO9" s="32">
        <f>AN9*(1+Assumptions!$C$3/12)</f>
        <v>76575827.1</v>
      </c>
      <c r="AP9" s="32">
        <f>AO9*(1+Assumptions!$C$3/12)</f>
        <v>76703453.48</v>
      </c>
      <c r="AQ9" s="32">
        <f>AP9*(1+Assumptions!$C$3/12)</f>
        <v>76831292.57</v>
      </c>
      <c r="AR9" s="32">
        <f>AQ9*(1+Assumptions!$C$3/12)</f>
        <v>76959344.72</v>
      </c>
      <c r="AS9" s="32">
        <f>AR9*(1+Assumptions!$C$3/12)</f>
        <v>77087610.3</v>
      </c>
      <c r="AT9" s="32">
        <f>AS9*(1+Assumptions!$C$3/12)</f>
        <v>77216089.65</v>
      </c>
      <c r="AU9" s="32">
        <f>AT9*(1+Assumptions!$C$3/12)</f>
        <v>77344783.13</v>
      </c>
      <c r="AV9" s="32">
        <f>AU9*(1+Assumptions!$C$3/12)</f>
        <v>77473691.1</v>
      </c>
      <c r="AW9" s="32">
        <f>AV9*(1+Assumptions!$C$3/12)</f>
        <v>77602813.92</v>
      </c>
      <c r="AX9" s="32">
        <f>AW9*(1+Assumptions!$C$3/12)</f>
        <v>77732151.94</v>
      </c>
      <c r="AY9" s="32">
        <f>AX9*(1+Assumptions!$C$3/12)</f>
        <v>77861705.53</v>
      </c>
      <c r="AZ9" s="32">
        <f>AY9*(1+Assumptions!$C$3/12)</f>
        <v>77991475.04</v>
      </c>
      <c r="BA9" s="32">
        <f>AZ9*(1+Assumptions!$C$3/12)</f>
        <v>78121460.83</v>
      </c>
      <c r="BB9" s="32">
        <f>BA9*(1+Assumptions!$C$3/12)</f>
        <v>78251663.26</v>
      </c>
      <c r="BC9" s="32">
        <f>BB9*(1+Assumptions!$C$3/12)</f>
        <v>78382082.7</v>
      </c>
      <c r="BD9" s="32">
        <f>BC9*(1+Assumptions!$C$3/12)</f>
        <v>78512719.51</v>
      </c>
      <c r="BE9" s="32">
        <f>BD9*(1+Assumptions!$C$3/12)</f>
        <v>78643574.04</v>
      </c>
      <c r="BF9" s="32">
        <f>BE9*(1+Assumptions!$C$3/12)</f>
        <v>78774646.66</v>
      </c>
      <c r="BG9" s="32">
        <f>BF9*(1+Assumptions!$C$3/12)</f>
        <v>78905937.74</v>
      </c>
      <c r="BH9" s="32">
        <f>BG9*(1+Assumptions!$C$3/12)</f>
        <v>79037447.64</v>
      </c>
      <c r="BI9" s="32">
        <f>BH9*(1+Assumptions!$C$3/12)</f>
        <v>79169176.72</v>
      </c>
      <c r="BJ9" s="32">
        <f>BI9*(1+Assumptions!$C$3/12)</f>
        <v>79301125.34</v>
      </c>
      <c r="BK9" s="32">
        <f>BJ9*(1+Assumptions!$C$3/12)</f>
        <v>79433293.89</v>
      </c>
      <c r="BL9" s="14"/>
      <c r="BM9" s="33">
        <f>AVERAGE($D9:$O9)</f>
        <v>72663680.45</v>
      </c>
      <c r="BN9" s="34"/>
      <c r="BO9" s="33">
        <f>AVERAGE($P9:$AA9)</f>
        <v>74130350.02</v>
      </c>
      <c r="BP9" s="34"/>
      <c r="BQ9" s="33">
        <f>AVERAGE($AB9:$AM9)</f>
        <v>75626623.38</v>
      </c>
      <c r="BR9" s="34"/>
      <c r="BS9" s="33">
        <f>AVERAGE($AN9:$AY9)</f>
        <v>77153098.04</v>
      </c>
      <c r="BT9" s="34"/>
      <c r="BU9" s="33">
        <f>AVERAGE($AZ9:$BK9)</f>
        <v>78710383.61</v>
      </c>
      <c r="BV9" s="34"/>
      <c r="BW9" s="33">
        <f>AVERAGE($D9:$BK9)</f>
        <v>75656827.1</v>
      </c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</row>
    <row r="10">
      <c r="A10" s="35"/>
      <c r="B10" s="36"/>
      <c r="C10" s="37"/>
      <c r="D10" s="38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37"/>
      <c r="P10" s="38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37"/>
      <c r="AB10" s="38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37"/>
      <c r="AN10" s="38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37"/>
      <c r="AZ10" s="38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37"/>
      <c r="BL10" s="14"/>
      <c r="BM10" s="39"/>
      <c r="BN10" s="14"/>
      <c r="BO10" s="39"/>
      <c r="BP10" s="14"/>
      <c r="BQ10" s="39"/>
      <c r="BR10" s="14"/>
      <c r="BS10" s="39"/>
      <c r="BT10" s="14"/>
      <c r="BU10" s="39"/>
      <c r="BV10" s="14"/>
      <c r="BW10" s="39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</row>
    <row r="11">
      <c r="A11" s="35"/>
      <c r="B11" s="40" t="s">
        <v>10</v>
      </c>
      <c r="C11" s="41" t="s">
        <v>38</v>
      </c>
      <c r="D11" s="42">
        <f>Assumptions!$C$4</f>
        <v>0.8</v>
      </c>
      <c r="E11" s="42">
        <f>Assumptions!$C$4</f>
        <v>0.8</v>
      </c>
      <c r="F11" s="42">
        <f>Assumptions!$C$4</f>
        <v>0.8</v>
      </c>
      <c r="G11" s="42">
        <f>Assumptions!$C$4</f>
        <v>0.8</v>
      </c>
      <c r="H11" s="42">
        <f>Assumptions!$C$4</f>
        <v>0.8</v>
      </c>
      <c r="I11" s="42">
        <f>Assumptions!$C$4</f>
        <v>0.8</v>
      </c>
      <c r="J11" s="42">
        <f>Assumptions!$C$4</f>
        <v>0.8</v>
      </c>
      <c r="K11" s="42">
        <f>Assumptions!$C$4</f>
        <v>0.8</v>
      </c>
      <c r="L11" s="42">
        <f>Assumptions!$C$4</f>
        <v>0.8</v>
      </c>
      <c r="M11" s="42">
        <f>Assumptions!$C$4</f>
        <v>0.8</v>
      </c>
      <c r="N11" s="42">
        <f>Assumptions!$C$4</f>
        <v>0.8</v>
      </c>
      <c r="O11" s="42">
        <f>Assumptions!$C$4</f>
        <v>0.8</v>
      </c>
      <c r="P11" s="42">
        <f>Assumptions!$C$4</f>
        <v>0.8</v>
      </c>
      <c r="Q11" s="42">
        <f>Assumptions!$C$4</f>
        <v>0.8</v>
      </c>
      <c r="R11" s="42">
        <f>Assumptions!$C$4</f>
        <v>0.8</v>
      </c>
      <c r="S11" s="42">
        <f>Assumptions!$C$4</f>
        <v>0.8</v>
      </c>
      <c r="T11" s="42">
        <f>Assumptions!$C$4</f>
        <v>0.8</v>
      </c>
      <c r="U11" s="42">
        <f>Assumptions!$C$4</f>
        <v>0.8</v>
      </c>
      <c r="V11" s="42">
        <f>Assumptions!$C$4</f>
        <v>0.8</v>
      </c>
      <c r="W11" s="42">
        <f>Assumptions!$C$4</f>
        <v>0.8</v>
      </c>
      <c r="X11" s="42">
        <f>Assumptions!$C$4</f>
        <v>0.8</v>
      </c>
      <c r="Y11" s="42">
        <f>Assumptions!$C$4</f>
        <v>0.8</v>
      </c>
      <c r="Z11" s="42">
        <f>Assumptions!$C$4</f>
        <v>0.8</v>
      </c>
      <c r="AA11" s="42">
        <f>Assumptions!$C$4</f>
        <v>0.8</v>
      </c>
      <c r="AB11" s="42">
        <f>Assumptions!$C$4</f>
        <v>0.8</v>
      </c>
      <c r="AC11" s="42">
        <f>Assumptions!$C$4</f>
        <v>0.8</v>
      </c>
      <c r="AD11" s="42">
        <f>Assumptions!$C$4</f>
        <v>0.8</v>
      </c>
      <c r="AE11" s="42">
        <f>Assumptions!$C$4</f>
        <v>0.8</v>
      </c>
      <c r="AF11" s="42">
        <f>Assumptions!$C$4</f>
        <v>0.8</v>
      </c>
      <c r="AG11" s="42">
        <f>Assumptions!$C$4</f>
        <v>0.8</v>
      </c>
      <c r="AH11" s="42">
        <f>Assumptions!$C$4</f>
        <v>0.8</v>
      </c>
      <c r="AI11" s="42">
        <f>Assumptions!$C$4</f>
        <v>0.8</v>
      </c>
      <c r="AJ11" s="42">
        <f>Assumptions!$C$4</f>
        <v>0.8</v>
      </c>
      <c r="AK11" s="42">
        <f>Assumptions!$C$4</f>
        <v>0.8</v>
      </c>
      <c r="AL11" s="42">
        <f>Assumptions!$C$4</f>
        <v>0.8</v>
      </c>
      <c r="AM11" s="42">
        <f>Assumptions!$C$4</f>
        <v>0.8</v>
      </c>
      <c r="AN11" s="42">
        <f>Assumptions!$C$4</f>
        <v>0.8</v>
      </c>
      <c r="AO11" s="42">
        <f>Assumptions!$C$4</f>
        <v>0.8</v>
      </c>
      <c r="AP11" s="42">
        <f>Assumptions!$C$4</f>
        <v>0.8</v>
      </c>
      <c r="AQ11" s="42">
        <f>Assumptions!$C$4</f>
        <v>0.8</v>
      </c>
      <c r="AR11" s="42">
        <f>Assumptions!$C$4</f>
        <v>0.8</v>
      </c>
      <c r="AS11" s="42">
        <f>Assumptions!$C$4</f>
        <v>0.8</v>
      </c>
      <c r="AT11" s="42">
        <f>Assumptions!$C$4</f>
        <v>0.8</v>
      </c>
      <c r="AU11" s="42">
        <f>Assumptions!$C$4</f>
        <v>0.8</v>
      </c>
      <c r="AV11" s="42">
        <f>Assumptions!$C$4</f>
        <v>0.8</v>
      </c>
      <c r="AW11" s="42">
        <f>Assumptions!$C$4</f>
        <v>0.8</v>
      </c>
      <c r="AX11" s="42">
        <f>Assumptions!$C$4</f>
        <v>0.8</v>
      </c>
      <c r="AY11" s="42">
        <f>Assumptions!$C$4</f>
        <v>0.8</v>
      </c>
      <c r="AZ11" s="42">
        <f>Assumptions!$C$4</f>
        <v>0.8</v>
      </c>
      <c r="BA11" s="42">
        <f>Assumptions!$C$4</f>
        <v>0.8</v>
      </c>
      <c r="BB11" s="42">
        <f>Assumptions!$C$4</f>
        <v>0.8</v>
      </c>
      <c r="BC11" s="42">
        <f>Assumptions!$C$4</f>
        <v>0.8</v>
      </c>
      <c r="BD11" s="42">
        <f>Assumptions!$C$4</f>
        <v>0.8</v>
      </c>
      <c r="BE11" s="42">
        <f>Assumptions!$C$4</f>
        <v>0.8</v>
      </c>
      <c r="BF11" s="42">
        <f>Assumptions!$C$4</f>
        <v>0.8</v>
      </c>
      <c r="BG11" s="42">
        <f>Assumptions!$C$4</f>
        <v>0.8</v>
      </c>
      <c r="BH11" s="42">
        <f>Assumptions!$C$4</f>
        <v>0.8</v>
      </c>
      <c r="BI11" s="42">
        <f>Assumptions!$C$4</f>
        <v>0.8</v>
      </c>
      <c r="BJ11" s="42">
        <f>Assumptions!$C$4</f>
        <v>0.8</v>
      </c>
      <c r="BK11" s="42">
        <f>Assumptions!$C$4</f>
        <v>0.8</v>
      </c>
      <c r="BL11" s="14"/>
      <c r="BM11" s="43">
        <f>Assumptions!$C$4</f>
        <v>0.8</v>
      </c>
      <c r="BN11" s="43"/>
      <c r="BO11" s="43">
        <f>Assumptions!$C$4</f>
        <v>0.8</v>
      </c>
      <c r="BP11" s="43"/>
      <c r="BQ11" s="43">
        <f>Assumptions!$C$4</f>
        <v>0.8</v>
      </c>
      <c r="BR11" s="43"/>
      <c r="BS11" s="43">
        <f>Assumptions!$C$4</f>
        <v>0.8</v>
      </c>
      <c r="BT11" s="43"/>
      <c r="BU11" s="43">
        <f>Assumptions!$C$4</f>
        <v>0.8</v>
      </c>
      <c r="BV11" s="43"/>
      <c r="BW11" s="43">
        <f>Assumptions!$C$4</f>
        <v>0.8</v>
      </c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</row>
    <row r="12">
      <c r="A12" s="35"/>
      <c r="B12" s="38"/>
      <c r="C12" s="37"/>
      <c r="D12" s="38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37"/>
      <c r="P12" s="38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37"/>
      <c r="AB12" s="38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37"/>
      <c r="AN12" s="38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37"/>
      <c r="AZ12" s="38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37"/>
      <c r="BL12" s="14"/>
      <c r="BM12" s="39"/>
      <c r="BN12" s="14"/>
      <c r="BO12" s="39"/>
      <c r="BP12" s="14"/>
      <c r="BQ12" s="39"/>
      <c r="BR12" s="14"/>
      <c r="BS12" s="39"/>
      <c r="BT12" s="14"/>
      <c r="BU12" s="39"/>
      <c r="BV12" s="14"/>
      <c r="BW12" s="39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</row>
    <row r="13">
      <c r="A13" s="35"/>
      <c r="B13" s="40" t="s">
        <v>39</v>
      </c>
      <c r="C13" s="41" t="s">
        <v>37</v>
      </c>
      <c r="D13" s="44">
        <f t="shared" ref="D13:BK13" si="6">D9*D11</f>
        <v>57600000</v>
      </c>
      <c r="E13" s="44">
        <f t="shared" si="6"/>
        <v>57696000</v>
      </c>
      <c r="F13" s="44">
        <f t="shared" si="6"/>
        <v>57792160</v>
      </c>
      <c r="G13" s="44">
        <f t="shared" si="6"/>
        <v>57888480.27</v>
      </c>
      <c r="H13" s="44">
        <f t="shared" si="6"/>
        <v>57984961.07</v>
      </c>
      <c r="I13" s="44">
        <f t="shared" si="6"/>
        <v>58081602.67</v>
      </c>
      <c r="J13" s="44">
        <f t="shared" si="6"/>
        <v>58178405.34</v>
      </c>
      <c r="K13" s="44">
        <f t="shared" si="6"/>
        <v>58275369.35</v>
      </c>
      <c r="L13" s="44">
        <f t="shared" si="6"/>
        <v>58372494.96</v>
      </c>
      <c r="M13" s="44">
        <f t="shared" si="6"/>
        <v>58469782.46</v>
      </c>
      <c r="N13" s="44">
        <f t="shared" si="6"/>
        <v>58567232.09</v>
      </c>
      <c r="O13" s="44">
        <f t="shared" si="6"/>
        <v>58664844.15</v>
      </c>
      <c r="P13" s="44">
        <f t="shared" si="6"/>
        <v>58762618.89</v>
      </c>
      <c r="Q13" s="44">
        <f t="shared" si="6"/>
        <v>58860556.59</v>
      </c>
      <c r="R13" s="44">
        <f t="shared" si="6"/>
        <v>58958657.51</v>
      </c>
      <c r="S13" s="44">
        <f t="shared" si="6"/>
        <v>59056921.94</v>
      </c>
      <c r="T13" s="44">
        <f t="shared" si="6"/>
        <v>59155350.15</v>
      </c>
      <c r="U13" s="44">
        <f t="shared" si="6"/>
        <v>59253942.4</v>
      </c>
      <c r="V13" s="44">
        <f t="shared" si="6"/>
        <v>59352698.97</v>
      </c>
      <c r="W13" s="44">
        <f t="shared" si="6"/>
        <v>59451620.13</v>
      </c>
      <c r="X13" s="44">
        <f t="shared" si="6"/>
        <v>59550706.16</v>
      </c>
      <c r="Y13" s="44">
        <f t="shared" si="6"/>
        <v>59649957.34</v>
      </c>
      <c r="Z13" s="44">
        <f t="shared" si="6"/>
        <v>59749373.94</v>
      </c>
      <c r="AA13" s="44">
        <f t="shared" si="6"/>
        <v>59848956.23</v>
      </c>
      <c r="AB13" s="44">
        <f t="shared" si="6"/>
        <v>59948704.49</v>
      </c>
      <c r="AC13" s="44">
        <f t="shared" si="6"/>
        <v>60048619</v>
      </c>
      <c r="AD13" s="44">
        <f t="shared" si="6"/>
        <v>60148700.03</v>
      </c>
      <c r="AE13" s="44">
        <f t="shared" si="6"/>
        <v>60248947.86</v>
      </c>
      <c r="AF13" s="44">
        <f t="shared" si="6"/>
        <v>60349362.77</v>
      </c>
      <c r="AG13" s="44">
        <f t="shared" si="6"/>
        <v>60449945.04</v>
      </c>
      <c r="AH13" s="44">
        <f t="shared" si="6"/>
        <v>60550694.95</v>
      </c>
      <c r="AI13" s="44">
        <f t="shared" si="6"/>
        <v>60651612.78</v>
      </c>
      <c r="AJ13" s="44">
        <f t="shared" si="6"/>
        <v>60752698.8</v>
      </c>
      <c r="AK13" s="44">
        <f t="shared" si="6"/>
        <v>60853953.3</v>
      </c>
      <c r="AL13" s="44">
        <f t="shared" si="6"/>
        <v>60955376.55</v>
      </c>
      <c r="AM13" s="44">
        <f t="shared" si="6"/>
        <v>61056968.85</v>
      </c>
      <c r="AN13" s="44">
        <f t="shared" si="6"/>
        <v>61158730.46</v>
      </c>
      <c r="AO13" s="44">
        <f t="shared" si="6"/>
        <v>61260661.68</v>
      </c>
      <c r="AP13" s="44">
        <f t="shared" si="6"/>
        <v>61362762.78</v>
      </c>
      <c r="AQ13" s="44">
        <f t="shared" si="6"/>
        <v>61465034.05</v>
      </c>
      <c r="AR13" s="44">
        <f t="shared" si="6"/>
        <v>61567475.78</v>
      </c>
      <c r="AS13" s="44">
        <f t="shared" si="6"/>
        <v>61670088.24</v>
      </c>
      <c r="AT13" s="44">
        <f t="shared" si="6"/>
        <v>61772871.72</v>
      </c>
      <c r="AU13" s="44">
        <f t="shared" si="6"/>
        <v>61875826.5</v>
      </c>
      <c r="AV13" s="44">
        <f t="shared" si="6"/>
        <v>61978952.88</v>
      </c>
      <c r="AW13" s="44">
        <f t="shared" si="6"/>
        <v>62082251.14</v>
      </c>
      <c r="AX13" s="44">
        <f t="shared" si="6"/>
        <v>62185721.55</v>
      </c>
      <c r="AY13" s="44">
        <f t="shared" si="6"/>
        <v>62289364.42</v>
      </c>
      <c r="AZ13" s="44">
        <f t="shared" si="6"/>
        <v>62393180.03</v>
      </c>
      <c r="BA13" s="44">
        <f t="shared" si="6"/>
        <v>62497168.66</v>
      </c>
      <c r="BB13" s="44">
        <f t="shared" si="6"/>
        <v>62601330.61</v>
      </c>
      <c r="BC13" s="44">
        <f t="shared" si="6"/>
        <v>62705666.16</v>
      </c>
      <c r="BD13" s="44">
        <f t="shared" si="6"/>
        <v>62810175.61</v>
      </c>
      <c r="BE13" s="44">
        <f t="shared" si="6"/>
        <v>62914859.23</v>
      </c>
      <c r="BF13" s="44">
        <f t="shared" si="6"/>
        <v>63019717.33</v>
      </c>
      <c r="BG13" s="44">
        <f t="shared" si="6"/>
        <v>63124750.19</v>
      </c>
      <c r="BH13" s="44">
        <f t="shared" si="6"/>
        <v>63229958.11</v>
      </c>
      <c r="BI13" s="44">
        <f t="shared" si="6"/>
        <v>63335341.37</v>
      </c>
      <c r="BJ13" s="44">
        <f t="shared" si="6"/>
        <v>63440900.28</v>
      </c>
      <c r="BK13" s="44">
        <f t="shared" si="6"/>
        <v>63546635.11</v>
      </c>
      <c r="BL13" s="14"/>
      <c r="BM13" s="45">
        <f>BM9*BM11</f>
        <v>58130944.36</v>
      </c>
      <c r="BN13" s="46"/>
      <c r="BO13" s="45">
        <f>BO9*BO11</f>
        <v>59304280.02</v>
      </c>
      <c r="BP13" s="46"/>
      <c r="BQ13" s="45">
        <f>BQ9*BQ11</f>
        <v>60501298.7</v>
      </c>
      <c r="BR13" s="46"/>
      <c r="BS13" s="45">
        <f>BS9 * BS11</f>
        <v>61722478.43</v>
      </c>
      <c r="BT13" s="46"/>
      <c r="BU13" s="45">
        <f>BU9 * BU11</f>
        <v>62968306.89</v>
      </c>
      <c r="BV13" s="46"/>
      <c r="BW13" s="45">
        <f>BW9*BW11</f>
        <v>60525461.68</v>
      </c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</row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</sheetData>
  <mergeCells count="9">
    <mergeCell ref="A1:C1"/>
    <mergeCell ref="A2:A5"/>
    <mergeCell ref="B2:C2"/>
    <mergeCell ref="B4:C4"/>
    <mergeCell ref="B6:C6"/>
    <mergeCell ref="B7:C7"/>
    <mergeCell ref="B8:C8"/>
    <mergeCell ref="A6:A8"/>
    <mergeCell ref="A9:A13"/>
  </mergeCells>
  <drawing r:id="rId4"/>
  <legacyDrawing r:id="rId5"/>
</worksheet>
</file>